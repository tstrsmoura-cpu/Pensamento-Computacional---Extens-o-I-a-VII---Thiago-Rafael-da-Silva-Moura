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olors9.xml" ContentType="application/vnd.ms-office.chartcolorstyle+xml"/>
  <Override PartName="/xl/charts/style4.xml" ContentType="application/vnd.ms-office.chartstyle+xml"/>
  <Override PartName="/xl/charts/colors8.xml" ContentType="application/vnd.ms-office.chartcolorstyle+xml"/>
  <Override PartName="/xl/charts/style3.xml" ContentType="application/vnd.ms-office.chartstyle+xml"/>
  <Override PartName="/xl/charts/chart6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3.xml" ContentType="application/vnd.ms-office.chartcolorstyle+xml"/>
  <Override PartName="/xl/charts/colors11.xml" ContentType="application/vnd.ms-office.chartcolorstyle+xml"/>
  <Override PartName="/xl/charts/style2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olors7.xml" ContentType="application/vnd.ms-office.chartcolor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style9.xml" ContentType="application/vnd.ms-office.chartstyle+xml"/>
  <Override PartName="/xl/charts/style1.xml" ContentType="application/vnd.ms-office.chart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7.xml" ContentType="application/vnd.ms-office.chartstyle+xml"/>
  <Override PartName="/xl/charts/style5.xml" ContentType="application/vnd.ms-office.chartstyle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_Leia-me" sheetId="1" state="visible" r:id="rId3"/>
    <sheet name="02_Benchmark_SAW" sheetId="2" state="visible" r:id="rId4"/>
    <sheet name="03_Benchmark_Evid" sheetId="3" state="visible" r:id="rId5"/>
    <sheet name="04_Heuristica_Dados" sheetId="4" state="visible" r:id="rId6"/>
    <sheet name="05_Heuristica_Resumo" sheetId="5" state="visible" r:id="rId7"/>
    <sheet name="06_Desempenho_Carga" sheetId="6" state="visible" r:id="rId8"/>
    <sheet name="07_Desempenho_Funcoes" sheetId="7" state="visible" r:id="rId9"/>
    <sheet name="08_Seguranca_OWASP" sheetId="8" state="visible" r:id="rId10"/>
    <sheet name="09_Rastreabilidade" sheetId="9" state="visible" r:id="rId11"/>
    <sheet name="10_Requisitos_Resumo" sheetId="10" state="visible" r:id="rId12"/>
    <sheet name="11_JMeter_Template" sheetId="11" state="visible" r:id="rId13"/>
    <sheet name="12_Auditoria" sheetId="12" state="visible" r:id="rId14"/>
    <sheet name="01_Dashboar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<sst xmlns="http://schemas.openxmlformats.org/spreadsheetml/2006/main" count="1073" uniqueCount="619">
  <si>
    <t xml:space="preserve">PLANILHA REPRODUTÍVEL  DISSERTAÇÃO PLATAFORMA KAYAPÓ</t>
  </si>
  <si>
    <t xml:space="preserve">Objetivo e escopo</t>
  </si>
  <si>
    <t xml:space="preserve">Esta pasta de trabalho consolida o benchmark multicritério SAW, a avaliação heurística, os testes de desempenho, a inspeção de segurança OWASP e a matriz de rastreabilidade de requisitos. Os cálculos derivados foram implementados com fórmulas de Excel. Dados agregados são preservados como valores de entrada; onde a dissertação não disponibiliza dados brutos, a limitação é explicitada e há um modelo vazio para novas execuções no Apache JMeter.</t>
  </si>
  <si>
    <t xml:space="preserve">Planilha</t>
  </si>
  <si>
    <t xml:space="preserve">Finalidade</t>
  </si>
  <si>
    <t xml:space="preserve">Regras de interpretação</t>
  </si>
  <si>
    <t xml:space="preserve">01_Dashboard</t>
  </si>
  <si>
    <t xml:space="preserve">Síntese visual dos principais resultados e alertas.</t>
  </si>
  <si>
    <t xml:space="preserve">Benchmark SAW: I = 100 × Σ wj × (xij/4). Os resultados medem cobertura multicritério, não BLEU nem acurácia de tradução.</t>
  </si>
  <si>
    <t xml:space="preserve">02_Benchmark_SAW</t>
  </si>
  <si>
    <t xml:space="preserve">Matriz 0–4, pesos dos três cenários, fórmulas SAW, ranking e conferência dos valores publicados.</t>
  </si>
  <si>
    <t xml:space="preserve">03_Benchmark_Evid</t>
  </si>
  <si>
    <t xml:space="preserve">Justificativas documentais para cada pontuação do benchmark.</t>
  </si>
  <si>
    <t xml:space="preserve">Heurística: severidade 0–4; problema = severidade maior que zero. A média global é a média aritmética das 22 severidades.</t>
  </si>
  <si>
    <t xml:space="preserve">04_Heuristica_Dados</t>
  </si>
  <si>
    <t xml:space="preserve">22 observações das cinco interfaces, com tela e heurística normalizadas.</t>
  </si>
  <si>
    <t xml:space="preserve">05_Heuristica_Resumo</t>
  </si>
  <si>
    <t xml:space="preserve">Recalcula percentuais, média de severidade e compara a frequência publicada com a frequência derivada.</t>
  </si>
  <si>
    <t xml:space="preserve">Rastreabilidade: o índice de cobertura documental desta planilha é uma convenção de auditoria (1 = concluído/validado; 0,5 = parcial; 0 = planejado ou não comprovado) e não é um indicador originalmente declarado na dissertação.</t>
  </si>
  <si>
    <t xml:space="preserve">06_Desempenho_Carga</t>
  </si>
  <si>
    <t xml:space="preserve">Sete cenários de 1 a 100 usuários: resposta, erro, throughput, CPU e memória.</t>
  </si>
  <si>
    <t xml:space="preserve">07_Desempenho_Funcoes</t>
  </si>
  <si>
    <t xml:space="preserve">Tempo médio e taxa de sucesso por funcionalidade.</t>
  </si>
  <si>
    <t xml:space="preserve">08_Seguranca_OWASP</t>
  </si>
  <si>
    <t xml:space="preserve">Pontuações por vulnerabilidade, totais, conformidade e ranking.</t>
  </si>
  <si>
    <t xml:space="preserve">Desempenho: os vetores agregados reproduzem as figuras. Sem arquivos .jtl, configuração do JMeter e especificação completa do ambiente, não é possível reproduzir independentemente as mesmas medições; a aba 11 fornece o esquema de coleta necessário.</t>
  </si>
  <si>
    <t xml:space="preserve">09_Rastreabilidade</t>
  </si>
  <si>
    <t xml:space="preserve">27 requisitos funcionais e não funcionais, processos, evidências e status.</t>
  </si>
  <si>
    <t xml:space="preserve">10_Requisitos_Resumo</t>
  </si>
  <si>
    <t xml:space="preserve">Cobertura documental, status e participação dos processos MPS.BR.</t>
  </si>
  <si>
    <t xml:space="preserve">11_JMeter_Template</t>
  </si>
  <si>
    <t xml:space="preserve">Modelo vazio para registrar ciclos e recalcular os agregados.</t>
  </si>
  <si>
    <t xml:space="preserve">12_Auditoria</t>
  </si>
  <si>
    <t xml:space="preserve">Avaliação crítica das inconsistências e lacunas de reprodutibilidade.</t>
  </si>
  <si>
    <t xml:space="preserve">BENCHMARK MULTICRITÉRIO — MÉTODO SAW</t>
  </si>
  <si>
    <t xml:space="preserve">Quatro alternativas, dez critérios, escala ordinal 0–4 e três cenários de pesos.</t>
  </si>
  <si>
    <t xml:space="preserve">Parâmetro</t>
  </si>
  <si>
    <t xml:space="preserve">Valor / definição</t>
  </si>
  <si>
    <t xml:space="preserve">Equilibrado</t>
  </si>
  <si>
    <t xml:space="preserve">Algorítmico</t>
  </si>
  <si>
    <t xml:space="preserve">Sociotécnico</t>
  </si>
  <si>
    <t xml:space="preserve">Pontuação</t>
  </si>
  <si>
    <t xml:space="preserve">Classificação</t>
  </si>
  <si>
    <t xml:space="preserve">Pontuação máxima</t>
  </si>
  <si>
    <t xml:space="preserve">Pesos iguais</t>
  </si>
  <si>
    <t xml:space="preserve">Ênfase em tradução/baixo recurso/benchmark</t>
  </si>
  <si>
    <t xml:space="preserve">Ênfase em multimodalidade, acesso, educação e implantação</t>
  </si>
  <si>
    <t xml:space="preserve">Ausente ou não reportada</t>
  </si>
  <si>
    <t xml:space="preserve">Incipiente</t>
  </si>
  <si>
    <t xml:space="preserve">Critério</t>
  </si>
  <si>
    <t xml:space="preserve">Escala máxima</t>
  </si>
  <si>
    <t xml:space="preserve">Peso equilibrado</t>
  </si>
  <si>
    <t xml:space="preserve">Peso algorítmico</t>
  </si>
  <si>
    <t xml:space="preserve">Peso sociotécnico</t>
  </si>
  <si>
    <t xml:space="preserve">Parcialmente atendida</t>
  </si>
  <si>
    <t xml:space="preserve">Automação da tradução</t>
  </si>
  <si>
    <t xml:space="preserve">Substancialmente atendida</t>
  </si>
  <si>
    <t xml:space="preserve">Adaptação a baixo recurso</t>
  </si>
  <si>
    <t xml:space="preserve">Abrangente / operacional</t>
  </si>
  <si>
    <t xml:space="preserve">Multimodalidade</t>
  </si>
  <si>
    <t xml:space="preserve">Acessibilidade e usabilidade</t>
  </si>
  <si>
    <t xml:space="preserve">Apoio educacional</t>
  </si>
  <si>
    <t xml:space="preserve">Gestão do acervo linguístico</t>
  </si>
  <si>
    <t xml:space="preserve">Orientação cultural e comunitária</t>
  </si>
  <si>
    <t xml:space="preserve">Reprodutibilidade e benchmarking</t>
  </si>
  <si>
    <t xml:space="preserve">Implantação operacional</t>
  </si>
  <si>
    <t xml:space="preserve">Sustentabilidade e manutenção</t>
  </si>
  <si>
    <t xml:space="preserve">Soma dos pesos</t>
  </si>
  <si>
    <t xml:space="preserve">Alternativa</t>
  </si>
  <si>
    <t xml:space="preserve">SAW equilibrado</t>
  </si>
  <si>
    <t xml:space="preserve">SAW algorítmico</t>
  </si>
  <si>
    <t xml:space="preserve">SAW sociotécnico</t>
  </si>
  <si>
    <t xml:space="preserve">Publicado eq.</t>
  </si>
  <si>
    <t xml:space="preserve">Dif. eq.</t>
  </si>
  <si>
    <t xml:space="preserve">Publicado alg.</t>
  </si>
  <si>
    <t xml:space="preserve">Dif. alg.</t>
  </si>
  <si>
    <t xml:space="preserve">Publicado socio.</t>
  </si>
  <si>
    <t xml:space="preserve">Dif. socio.</t>
  </si>
  <si>
    <t xml:space="preserve">Rank eq.</t>
  </si>
  <si>
    <t xml:space="preserve">Rank alg.</t>
  </si>
  <si>
    <t xml:space="preserve">Rank socio.</t>
  </si>
  <si>
    <t xml:space="preserve">Ayuuk–Espanhol NMT</t>
  </si>
  <si>
    <t xml:space="preserve">AmericasNLP 2024</t>
  </si>
  <si>
    <t xml:space="preserve">mBART cross-lingual</t>
  </si>
  <si>
    <t xml:space="preserve">Plataforma Kayapó</t>
  </si>
  <si>
    <t xml:space="preserve">Fórmula implementada: Iᵢ = 100 × Σⱼ wⱼ(xᵢⱼ/4), com Σwⱼ = 1. As colunas “Dif.” devem permanecer em 0,0; qualquer alteração em pesos ou pontuações recalcula automaticamente os índices e rankings.</t>
  </si>
  <si>
    <t xml:space="preserve"> JUSTIFICATIVAS DO BENCHMARK</t>
  </si>
  <si>
    <t xml:space="preserve">Rastreabilidade documental das pontuações 0–4. A matriz exata foi recuperada do arquivo benchmark_multicriterio_kayapo.csv usado na geração da Figura 31.</t>
  </si>
  <si>
    <t xml:space="preserve">Justificativa documental</t>
  </si>
  <si>
    <t xml:space="preserve">Local da evidência</t>
  </si>
  <si>
    <t xml:space="preserve">Natureza da avaliação</t>
  </si>
  <si>
    <t xml:space="preserve">Tradução automática encoder–decoder é a finalidade central.</t>
  </si>
  <si>
    <t xml:space="preserve">Tabela 1 / Estado da arte</t>
  </si>
  <si>
    <t xml:space="preserve">Julgamento documental ordinal</t>
  </si>
  <si>
    <t xml:space="preserve">Treinamento com corpus paralelo reduzido e normalização ortográfica.</t>
  </si>
  <si>
    <t xml:space="preserve">Recursos multimodais não constituem foco do sistema.</t>
  </si>
  <si>
    <t xml:space="preserve">Interface e acessibilidade não são requisitos centrais; presença apenas incipiente.</t>
  </si>
  <si>
    <t xml:space="preserve">Aplicação educacional não é integrada, mas o artefato pode apoiar estudos.</t>
  </si>
  <si>
    <t xml:space="preserve">Corpus utilizado sobretudo para treinamento e avaliação, sem gestão operacional contínua.</t>
  </si>
  <si>
    <t xml:space="preserve">Contexto cultural considerado na seleção e no tratamento dos dados linguísticos.</t>
  </si>
  <si>
    <t xml:space="preserve">Publicação com avaliação automática e descrição metodológica, mas sem ambiente de shared task.</t>
  </si>
  <si>
    <t xml:space="preserve">Solução predominantemente experimental, sem implantação institucional.</t>
  </si>
  <si>
    <t xml:space="preserve">Sustentabilidade dependente da manutenção do modelo e do corpus.</t>
  </si>
  <si>
    <t xml:space="preserve">Shared task dedicada à comparação de sistemas de tradução automática.</t>
  </si>
  <si>
    <t xml:space="preserve">Uso de corpora padronizados, pré-treinamento multilíngue e transferência cross-lingual.</t>
  </si>
  <si>
    <t xml:space="preserve">Predominância de dados textuais; multimodalidade ausente.</t>
  </si>
  <si>
    <t xml:space="preserve">Não há interface operacional única; acessibilidade não integra os critérios principais.</t>
  </si>
  <si>
    <t xml:space="preserve">Os recursos e corpora podem apoiar pesquisa e capacitação, mas educação não é objetivo central.</t>
  </si>
  <si>
    <t xml:space="preserve">Corpora organizados e mantidos para comparação entre modelos, porém não como acervo comunitário operacional.</t>
  </si>
  <si>
    <t xml:space="preserve">Varia conforme corpus e equipe; há consideração temática, mas não requisito operacional comum.</t>
  </si>
  <si>
    <t xml:space="preserve">Benchmark público, métricas padronizadas e comparação entre equipes.</t>
  </si>
  <si>
    <t xml:space="preserve">Resultados distribuídos como modelos, códigos ou dados, sem produto final único.</t>
  </si>
  <si>
    <t xml:space="preserve">Continuidade vinculada às tarefas e aos repositórios científicos.</t>
  </si>
  <si>
    <t xml:space="preserve">Modelo NMT voltado à geração automática de tradução.</t>
  </si>
  <si>
    <t xml:space="preserve">Pré-treinamento e transferência cross-lingual adequados a línguas de baixo recurso.</t>
  </si>
  <si>
    <t xml:space="preserve">Abordagem predominantemente textual.</t>
  </si>
  <si>
    <t xml:space="preserve">Acessibilidade digital geralmente não abordada.</t>
  </si>
  <si>
    <t xml:space="preserve">Aplicação educacional não integra o objetivo do modelo.</t>
  </si>
  <si>
    <t xml:space="preserve">Dados tratados como conjuntos de treinamento; gestão contínua é limitada.</t>
  </si>
  <si>
    <t xml:space="preserve">Contextualização cultural depende dos dados e é limitada.</t>
  </si>
  <si>
    <t xml:space="preserve">Modelo e protocolo amplamente reprodutíveis em pesquisa.</t>
  </si>
  <si>
    <t xml:space="preserve">Implantação operacional depende da transformação do protótipo em produto.</t>
  </si>
  <si>
    <t xml:space="preserve">Sustentabilidade frequentemente limitada à duração do projeto e manutenção técnica.</t>
  </si>
  <si>
    <t xml:space="preserve">Oferece tradução lexical; a tradução automática completa está planejada, não é o núcleo atual.</t>
  </si>
  <si>
    <t xml:space="preserve">Arquitetura preparada para base progressiva e futura IA, com dados ainda limitados.</t>
  </si>
  <si>
    <t xml:space="preserve">Integra texto, áudio e vídeo.</t>
  </si>
  <si>
    <t xml:space="preserve">Interface responsiva, VLibras, modos claro/escuro e controles de uso.</t>
  </si>
  <si>
    <t xml:space="preserve">Consulta, pronúncia, lições e conteúdos de apoio educacional.</t>
  </si>
  <si>
    <t xml:space="preserve">Cadastro, edição, consulta e ampliação contínua do acervo.</t>
  </si>
  <si>
    <t xml:space="preserve">Preservação, validação cultural e participação institucional são estruturantes.</t>
  </si>
  <si>
    <t xml:space="preserve">Processo e resultados são documentados, mas não há benchmark algorítmico público completo.</t>
  </si>
  <si>
    <t xml:space="preserve">Plataforma web funcional com potencial de uso institucional.</t>
  </si>
  <si>
    <t xml:space="preserve">Arquitetura modular, gestão de usuários e atualização contínua.</t>
  </si>
  <si>
    <t xml:space="preserve">AVALIAÇÃO HEURÍSTICA — DADOS DE BASE</t>
  </si>
  <si>
    <t xml:space="preserve">22 aspectos avaliados segundo Nielsen e Molich; preserva valores reportados e registra normalizações necessárias.</t>
  </si>
  <si>
    <t xml:space="preserve">ID</t>
  </si>
  <si>
    <t xml:space="preserve">Tela reportada</t>
  </si>
  <si>
    <t xml:space="preserve">Tela normalizada</t>
  </si>
  <si>
    <t xml:space="preserve">Aspecto avaliado</t>
  </si>
  <si>
    <t xml:space="preserve">Heurística normalizada</t>
  </si>
  <si>
    <t xml:space="preserve">Severidade</t>
  </si>
  <si>
    <t xml:space="preserve">Problema (0/1)</t>
  </si>
  <si>
    <t xml:space="preserve">Justificativa</t>
  </si>
  <si>
    <t xml:space="preserve">Nota de auditoria</t>
  </si>
  <si>
    <t xml:space="preserve">Login</t>
  </si>
  <si>
    <t xml:space="preserve">Organização clara dos elementos e fluxo simples</t>
  </si>
  <si>
    <t xml:space="preserve">Consistência e padrões</t>
  </si>
  <si>
    <t xml:space="preserve">Sem problema</t>
  </si>
  <si>
    <t xml:space="preserve">Boa organização visual, fácil compreensão para o usuário.</t>
  </si>
  <si>
    <t xml:space="preserve">Seleção de tipo de usuário</t>
  </si>
  <si>
    <t xml:space="preserve">Visibilidade do status do sistema</t>
  </si>
  <si>
    <t xml:space="preserve">Leve</t>
  </si>
  <si>
    <t xml:space="preserve">É adequada, podendo ser aprimorada com feedback mais explícito após a seleção.</t>
  </si>
  <si>
    <t xml:space="preserve">Alternância de tema (claro/escuro)</t>
  </si>
  <si>
    <t xml:space="preserve">Controle e liberdade do usuário</t>
  </si>
  <si>
    <t xml:space="preserve">Controle direto ao usuário, acessibilidade e conforto visual.</t>
  </si>
  <si>
    <t xml:space="preserve">Heurística normalizada de 'Controle do usuário'.</t>
  </si>
  <si>
    <t xml:space="preserve">Principal</t>
  </si>
  <si>
    <t xml:space="preserve">Menu lateral responsivo e intuitivo</t>
  </si>
  <si>
    <t xml:space="preserve">Fácil navegação e acesso rápido às funcionalidades.</t>
  </si>
  <si>
    <t xml:space="preserve">Barra de pesquisa funcional</t>
  </si>
  <si>
    <t xml:space="preserve">Flexibilidade e eficiência de uso</t>
  </si>
  <si>
    <t xml:space="preserve">Busca intuitiva; pode receber sugestões automáticas ou feedback dinâmico.</t>
  </si>
  <si>
    <t xml:space="preserve">Célula mesclada/ausente no DOCX; texto reconstruído a partir da página 66.</t>
  </si>
  <si>
    <t xml:space="preserve">Reprodutores de áudio integrados</t>
  </si>
  <si>
    <t xml:space="preserve">Controles funcionais; pode melhorar a indicação de execução/pausa.</t>
  </si>
  <si>
    <t xml:space="preserve">Integração com VLibras</t>
  </si>
  <si>
    <t xml:space="preserve">Ajuda e documentação</t>
  </si>
  <si>
    <t xml:space="preserve">Recurso relevante que amplia significativamente a acessibilidade.</t>
  </si>
  <si>
    <t xml:space="preserve">Controles de zoom (+/-)</t>
  </si>
  <si>
    <t xml:space="preserve">Reconhecimento em vez de memorização</t>
  </si>
  <si>
    <t xml:space="preserve">Pode ser aprimorado com rótulos ou dicas visuais.</t>
  </si>
  <si>
    <t xml:space="preserve">Módulo</t>
  </si>
  <si>
    <t xml:space="preserve">Organização em cards de conteúdo</t>
  </si>
  <si>
    <t xml:space="preserve">Estética e design minimalista</t>
  </si>
  <si>
    <t xml:space="preserve">A disposição favorece leitura e navegação.</t>
  </si>
  <si>
    <t xml:space="preserve">Integração com vídeos (YouTube)</t>
  </si>
  <si>
    <t xml:space="preserve">Enriquece o aprendizado; pode ter maior controle dentro do sistema.</t>
  </si>
  <si>
    <t xml:space="preserve">Consistência entre mídias (áudio/vídeo)</t>
  </si>
  <si>
    <t xml:space="preserve">Pequenas variações não comprometem o uso, mas podem ser padronizadas.</t>
  </si>
  <si>
    <t xml:space="preserve">Estatísticas</t>
  </si>
  <si>
    <t xml:space="preserve">Exibição de dados de login</t>
  </si>
  <si>
    <t xml:space="preserve">Informações de primeiro e último acesso facilitam acompanhamento.</t>
  </si>
  <si>
    <t xml:space="preserve">Identificação do usuário logado</t>
  </si>
  <si>
    <t xml:space="preserve">Correspondência entre sistema e mundo real</t>
  </si>
  <si>
    <t xml:space="preserve">Exibição direta do nome promove reconhecimento imediato.</t>
  </si>
  <si>
    <t xml:space="preserve">Justificativa reconstruída da página 68.</t>
  </si>
  <si>
    <t xml:space="preserve">Gráfico de tempo entre logins</t>
  </si>
  <si>
    <t xml:space="preserve">Representação adequada; pode exigir interpretação adicional sem legenda detalhada.</t>
  </si>
  <si>
    <t xml:space="preserve">Legibilidade do gráfico</t>
  </si>
  <si>
    <t xml:space="preserve">Possível dificuldade de leitura em valores e datas no eixo.</t>
  </si>
  <si>
    <t xml:space="preserve">Menu lateral de navegação</t>
  </si>
  <si>
    <t xml:space="preserve">Mantém padrão visual e funcional das demais telas.</t>
  </si>
  <si>
    <t xml:space="preserve">Tela reportada como 'Principal'; normalizada para 'Estatísticas' conforme o contexto do Quadro 4.</t>
  </si>
  <si>
    <t xml:space="preserve">Mensagens</t>
  </si>
  <si>
    <t xml:space="preserve">Estrutura do formulário</t>
  </si>
  <si>
    <t xml:space="preserve">Organização clara dos campos, seguindo padrão conhecido de formulários.</t>
  </si>
  <si>
    <t xml:space="preserve">Identificação dos campos</t>
  </si>
  <si>
    <t xml:space="preserve">Rótulos compreensíveis facilitam o preenchimento.</t>
  </si>
  <si>
    <t xml:space="preserve">Justificativa reconstruída da página 69.</t>
  </si>
  <si>
    <t xml:space="preserve">Feedback de erro ou sucesso</t>
  </si>
  <si>
    <t xml:space="preserve">Ajuda a reconhecer, diagnosticar e corrigir erros</t>
  </si>
  <si>
    <t xml:space="preserve">Apresenta validação visível de erro ou sucesso.</t>
  </si>
  <si>
    <t xml:space="preserve">A narrativa da página 70 contradiz esta linha e afirma ausência de mensagens claras.</t>
  </si>
  <si>
    <t xml:space="preserve">Navegação pelo menu lateral</t>
  </si>
  <si>
    <t xml:space="preserve">Permite fácil acesso a outras funcionalidades.</t>
  </si>
  <si>
    <t xml:space="preserve">Acessibilidade visual (contraste e tamanho)</t>
  </si>
  <si>
    <t xml:space="preserve">Interface limpa; pode melhorar o contraste de alguns elementos.</t>
  </si>
  <si>
    <t xml:space="preserve">AVALIAÇÃO HEURÍSTICA — REPRODUÇÃO E CONFERÊNCIA</t>
  </si>
  <si>
    <t xml:space="preserve">Percentuais e médias derivados diretamente das 22 observações da aba 04.</t>
  </si>
  <si>
    <t xml:space="preserve">Indicador</t>
  </si>
  <si>
    <t xml:space="preserve">Fórmula / base</t>
  </si>
  <si>
    <t xml:space="preserve">Resultado</t>
  </si>
  <si>
    <t xml:space="preserve">Publicado</t>
  </si>
  <si>
    <t xml:space="preserve">Heurística</t>
  </si>
  <si>
    <t xml:space="preserve">Frequência publicada</t>
  </si>
  <si>
    <t xml:space="preserve">% publicado</t>
  </si>
  <si>
    <t xml:space="preserve">Frequência recalculada</t>
  </si>
  <si>
    <t xml:space="preserve">% recalculado</t>
  </si>
  <si>
    <t xml:space="preserve">Diferença f</t>
  </si>
  <si>
    <t xml:space="preserve">Total de aspectos</t>
  </si>
  <si>
    <t xml:space="preserve">CONT.VALORES IDs</t>
  </si>
  <si>
    <t xml:space="preserve">Severidade = 0</t>
  </si>
  <si>
    <t xml:space="preserve">Com problema leve</t>
  </si>
  <si>
    <t xml:space="preserve">Severidade &gt; 0</t>
  </si>
  <si>
    <t xml:space="preserve">Percentual sem problema</t>
  </si>
  <si>
    <t xml:space="preserve">Sem problema / total</t>
  </si>
  <si>
    <t xml:space="preserve">Percentual com problema</t>
  </si>
  <si>
    <t xml:space="preserve">Com problema / total</t>
  </si>
  <si>
    <t xml:space="preserve">Média global de severidade</t>
  </si>
  <si>
    <t xml:space="preserve">Média das severidades</t>
  </si>
  <si>
    <t xml:space="preserve">Tela</t>
  </si>
  <si>
    <t xml:space="preserve">Itens</t>
  </si>
  <si>
    <t xml:space="preserve">Com problema</t>
  </si>
  <si>
    <t xml:space="preserve">% com problema</t>
  </si>
  <si>
    <t xml:space="preserve">Média severidade</t>
  </si>
  <si>
    <t xml:space="preserve">Conferência: a Tabela 7 publicada atribui frequência 4 a “Estética e design minimalista” e 3 a “Controle e liberdade do usuário”. A recomposição das 22 linhas produz 3 e 4, respectivamente. O total e os percentuais globais de severidade permanecem corretos.</t>
  </si>
  <si>
    <t xml:space="preserve">TESTE DE DESEMPENHO — CENÁRIOS DE CARGA</t>
  </si>
  <si>
    <t xml:space="preserve">Vetores agregados usados nas Figuras 25–28. Cenários: 1, 5, 10, 25, 50, 75 e 100 usuários simultâneos.</t>
  </si>
  <si>
    <t xml:space="preserve">Usuários</t>
  </si>
  <si>
    <t xml:space="preserve">Resposta média (s)</t>
  </si>
  <si>
    <t xml:space="preserve">Erro (%)</t>
  </si>
  <si>
    <t xml:space="preserve">Throughput (req/s)</t>
  </si>
  <si>
    <t xml:space="preserve">CPU média (%)</t>
  </si>
  <si>
    <t xml:space="preserve">Memória média (MB)</t>
  </si>
  <si>
    <t xml:space="preserve">Sucesso (%)</t>
  </si>
  <si>
    <t xml:space="preserve">Req/s por 1% CPU</t>
  </si>
  <si>
    <t xml:space="preserve">Memória por usuário (MB)</t>
  </si>
  <si>
    <t xml:space="preserve">Origem do valor</t>
  </si>
  <si>
    <t xml:space="preserve">Resposta recalculada</t>
  </si>
  <si>
    <t xml:space="preserve">Erro recalculado</t>
  </si>
  <si>
    <t xml:space="preserve">Throughput recalculado</t>
  </si>
  <si>
    <t xml:space="preserve">CPU recalculada</t>
  </si>
  <si>
    <t xml:space="preserve">Memória recalculada</t>
  </si>
  <si>
    <t xml:space="preserve">Dif. resposta</t>
  </si>
  <si>
    <t xml:space="preserve">Dif. erro</t>
  </si>
  <si>
    <t xml:space="preserve">Vetor utilizado nas figuras / resultados agregados</t>
  </si>
  <si>
    <t xml:space="preserve">Fórmula</t>
  </si>
  <si>
    <t xml:space="preserve">Definição</t>
  </si>
  <si>
    <t xml:space="preserve">Importante: as colunas recalculadas permanecem vazias até a inserção de dados brutos ou médias por ciclo na aba 11. A dissertação não informa versão do JMeter, ramp-up, duração, quantidade exata de repetições, hardware completo, sistema operacional, versões de PHP/SQL nem disponibiliza arquivo .jtl; portanto, os agregados podem ser reproduzidos matematicamente, mas a medição experimental não é integralmente replicável com o documento isolado.</t>
  </si>
  <si>
    <t xml:space="preserve">Tempo médio</t>
  </si>
  <si>
    <t xml:space="preserve">Σ tempos de resposta (ms) / número de amostras / 1000</t>
  </si>
  <si>
    <t xml:space="preserve">Taxa de erro (%)</t>
  </si>
  <si>
    <t xml:space="preserve">100 × número de erros / número de amostras</t>
  </si>
  <si>
    <t xml:space="preserve">Throughput</t>
  </si>
  <si>
    <t xml:space="preserve">número de amostras / duração total (s)</t>
  </si>
  <si>
    <t xml:space="preserve">CPU e memória</t>
  </si>
  <si>
    <t xml:space="preserve">média aritmética das amostras ou médias por ciclo</t>
  </si>
  <si>
    <t xml:space="preserve">DESEMPENHO POR FUNCIONALIDADE</t>
  </si>
  <si>
    <t xml:space="preserve">Tempos médios e taxas de sucesso das cinco operações avaliadas.</t>
  </si>
  <si>
    <t xml:space="preserve">Funcionalidade</t>
  </si>
  <si>
    <t xml:space="preserve">Tempo médio (s)</t>
  </si>
  <si>
    <t xml:space="preserve">Falha (%)</t>
  </si>
  <si>
    <t xml:space="preserve">Falhas esperadas por 1.000 tentativas</t>
  </si>
  <si>
    <t xml:space="preserve">Observação</t>
  </si>
  <si>
    <t xml:space="preserve">Resultado agregado da dissertação</t>
  </si>
  <si>
    <t xml:space="preserve">Consulta de palavras</t>
  </si>
  <si>
    <t xml:space="preserve">Reprodução de áudio</t>
  </si>
  <si>
    <t xml:space="preserve">Cadastro de termo</t>
  </si>
  <si>
    <t xml:space="preserve">Envio de mensagem</t>
  </si>
  <si>
    <t xml:space="preserve">A coluna “Falhas esperadas por 1.000 tentativas” é uma transformação matemática da taxa publicada, não uma contagem observada. Para obter intervalos de confiança e testes estatísticos, é necessário conhecer o número real de tentativas por funcionalidade.</t>
  </si>
  <si>
    <t xml:space="preserve">INSPEÇÃO DE SEGURANÇA — CATEGORIAS OWASP</t>
  </si>
  <si>
    <t xml:space="preserve">Pontuações de 0 a 100 por categoria; máximo de 700 pontos por modelo.</t>
  </si>
  <si>
    <t xml:space="preserve">Vulnerabilidade</t>
  </si>
  <si>
    <t xml:space="preserve">Risco normalizado</t>
  </si>
  <si>
    <t xml:space="preserve">GPT-2 small</t>
  </si>
  <si>
    <t xml:space="preserve">BERT</t>
  </si>
  <si>
    <t xml:space="preserve">T5</t>
  </si>
  <si>
    <t xml:space="preserve">Maior pontuação</t>
  </si>
  <si>
    <t xml:space="preserve">Modelo líder</t>
  </si>
  <si>
    <t xml:space="preserve">Amplitude</t>
  </si>
  <si>
    <t xml:space="preserve">Cryptographic Failures</t>
  </si>
  <si>
    <t xml:space="preserve">Máximo</t>
  </si>
  <si>
    <t xml:space="preserve">Injection</t>
  </si>
  <si>
    <t xml:space="preserve">Médio</t>
  </si>
  <si>
    <t xml:space="preserve">Insecure Design</t>
  </si>
  <si>
    <t xml:space="preserve">Vulnerable and Outdated Components</t>
  </si>
  <si>
    <t xml:space="preserve">Identification and Authentication Failures</t>
  </si>
  <si>
    <t xml:space="preserve">Software and Data Integrity Failures</t>
  </si>
  <si>
    <t xml:space="preserve">Server-Side Request Forgery (SSRF)</t>
  </si>
  <si>
    <t xml:space="preserve">Total</t>
  </si>
  <si>
    <t xml:space="preserve">Conformidade (%)</t>
  </si>
  <si>
    <t xml:space="preserve">Ranking</t>
  </si>
  <si>
    <t xml:space="preserve">Inconsistência identificada: o texto da página 64 menciona “XLNet (470 pontos)”, embora a tabela contenha apenas GPT-2 small, BERT e T5, com totais 450, 265 e 496. O total de 470 não pode ser verificado a partir da tabela. Além disso, o título usa “Percentual de conformidade”, mas os valores apresentados são escores por categoria; o percentual geral é calculado nesta planilha dividindo o total por 700.</t>
  </si>
  <si>
    <t xml:space="preserve">MATRIZ DE RASTREABILIDADE DE REQUISITOS</t>
  </si>
  <si>
    <t xml:space="preserve">Requisitos RF01–RF15 e RNF01–RNF12, processos MPS.BR, evidências e situação reportada.</t>
  </si>
  <si>
    <t xml:space="preserve">Tipo</t>
  </si>
  <si>
    <t xml:space="preserve">Requisito</t>
  </si>
  <si>
    <t xml:space="preserve">Processo relacionado</t>
  </si>
  <si>
    <t xml:space="preserve">Evidência de verificação</t>
  </si>
  <si>
    <t xml:space="preserve">Situação reportada</t>
  </si>
  <si>
    <t xml:space="preserve">Status normalizado</t>
  </si>
  <si>
    <t xml:space="preserve">Cobertura</t>
  </si>
  <si>
    <t xml:space="preserve">Comprovação documental</t>
  </si>
  <si>
    <t xml:space="preserve">Nota</t>
  </si>
  <si>
    <t xml:space="preserve">RF01</t>
  </si>
  <si>
    <t xml:space="preserve">Funcional</t>
  </si>
  <si>
    <t xml:space="preserve">Realizar autenticação por login e senha</t>
  </si>
  <si>
    <t xml:space="preserve">Autenticação</t>
  </si>
  <si>
    <t xml:space="preserve">GRE, DRE, PCP, VER e VAL</t>
  </si>
  <si>
    <t xml:space="preserve">Testes com credenciais válidas e inválidas</t>
  </si>
  <si>
    <t xml:space="preserve">Implementado</t>
  </si>
  <si>
    <t xml:space="preserve">Concluído/validado</t>
  </si>
  <si>
    <t xml:space="preserve">Sim</t>
  </si>
  <si>
    <t xml:space="preserve">RF02</t>
  </si>
  <si>
    <t xml:space="preserve">Cadastrar usuários</t>
  </si>
  <si>
    <t xml:space="preserve">Gestão de usuários</t>
  </si>
  <si>
    <t xml:space="preserve">GRE, DRE, PCP e VER</t>
  </si>
  <si>
    <t xml:space="preserve">Inclusão e consulta de usuários</t>
  </si>
  <si>
    <t xml:space="preserve">RF03</t>
  </si>
  <si>
    <t xml:space="preserve">Controlar permissões conforme o perfil de acesso</t>
  </si>
  <si>
    <t xml:space="preserve">Controle de acesso</t>
  </si>
  <si>
    <t xml:space="preserve">DRE, PCP, VER, VAL e GQA</t>
  </si>
  <si>
    <t xml:space="preserve">Testes de acesso às funções administrativas</t>
  </si>
  <si>
    <t xml:space="preserve">RF04</t>
  </si>
  <si>
    <t xml:space="preserve">Cadastrar termos em Kayapó e português</t>
  </si>
  <si>
    <t xml:space="preserve">Acervo linguístico</t>
  </si>
  <si>
    <t xml:space="preserve">Inclusão e consulta de termos no banco de dados</t>
  </si>
  <si>
    <t xml:space="preserve">RF05</t>
  </si>
  <si>
    <t xml:space="preserve">Editar e gerenciar termos cadastrados</t>
  </si>
  <si>
    <t xml:space="preserve">DRE, PCP, VER e MAN</t>
  </si>
  <si>
    <t xml:space="preserve">Alteração de registros existentes</t>
  </si>
  <si>
    <t xml:space="preserve">RF06</t>
  </si>
  <si>
    <t xml:space="preserve">Pesquisar palavras nos dois idiomas</t>
  </si>
  <si>
    <t xml:space="preserve">Consulta lexical</t>
  </si>
  <si>
    <t xml:space="preserve">GRE, DRE, VER e VAL</t>
  </si>
  <si>
    <t xml:space="preserve">Pesquisas com termos existentes e inexistentes</t>
  </si>
  <si>
    <t xml:space="preserve">RF07</t>
  </si>
  <si>
    <t xml:space="preserve">Apresentar a tradução vinculada ao termo pesquisado</t>
  </si>
  <si>
    <t xml:space="preserve">Tradução lexical</t>
  </si>
  <si>
    <t xml:space="preserve">DRE, PCP e VAL</t>
  </si>
  <si>
    <t xml:space="preserve">Comparação com o registro armazenado</t>
  </si>
  <si>
    <t xml:space="preserve">RF08</t>
  </si>
  <si>
    <t xml:space="preserve">Reproduzir e associar áudios aos termos</t>
  </si>
  <si>
    <t xml:space="preserve">Áudio e pronúncia</t>
  </si>
  <si>
    <t xml:space="preserve">Reprodução dos áudios e conferência da associação ao termo</t>
  </si>
  <si>
    <t xml:space="preserve">Parcialmente implementado</t>
  </si>
  <si>
    <t xml:space="preserve">Parcial</t>
  </si>
  <si>
    <t xml:space="preserve">RF09</t>
  </si>
  <si>
    <t xml:space="preserve">Disponibilizar lições e conteúdos em vídeo</t>
  </si>
  <si>
    <t xml:space="preserve">Módulo educacional</t>
  </si>
  <si>
    <t xml:space="preserve">Cadastro e exibição de lições audiovisuais</t>
  </si>
  <si>
    <t xml:space="preserve">RF10</t>
  </si>
  <si>
    <t xml:space="preserve">Exibir estatísticas de acesso e utilização</t>
  </si>
  <si>
    <t xml:space="preserve">DRE, PCP e VER</t>
  </si>
  <si>
    <t xml:space="preserve">Comparação entre registros e indicadores apresentados</t>
  </si>
  <si>
    <t xml:space="preserve">RF11</t>
  </si>
  <si>
    <t xml:space="preserve">Permitir o envio de mensagens ao administrador</t>
  </si>
  <si>
    <t xml:space="preserve">Envio e armazenamento da mensagem</t>
  </si>
  <si>
    <t xml:space="preserve">RF12</t>
  </si>
  <si>
    <t xml:space="preserve">Permitir a consulta e o gerenciamento de mensagens</t>
  </si>
  <si>
    <t xml:space="preserve">Administração</t>
  </si>
  <si>
    <t xml:space="preserve">Visualização e atualização do estado das mensagens</t>
  </si>
  <si>
    <t xml:space="preserve">RF13</t>
  </si>
  <si>
    <t xml:space="preserve">Apresentar termos de uso, direitos e responsabilidades</t>
  </si>
  <si>
    <t xml:space="preserve">Termos e direitos</t>
  </si>
  <si>
    <t xml:space="preserve">GRE, DRE e VAL</t>
  </si>
  <si>
    <t xml:space="preserve">Verificação da página institucional</t>
  </si>
  <si>
    <t xml:space="preserve">RF14</t>
  </si>
  <si>
    <t xml:space="preserve">Permitir a ampliação progressiva do acervo linguístico</t>
  </si>
  <si>
    <t xml:space="preserve">Gestão do acervo</t>
  </si>
  <si>
    <t xml:space="preserve">GRE, PCP, GCO e MAN</t>
  </si>
  <si>
    <t xml:space="preserve">Inclusão de novos registros sem alteração estrutural</t>
  </si>
  <si>
    <t xml:space="preserve">Estrutura implementada</t>
  </si>
  <si>
    <t xml:space="preserve">RF15</t>
  </si>
  <si>
    <t xml:space="preserve">Integrar futuramente um modelo de tradução automática</t>
  </si>
  <si>
    <t xml:space="preserve">Inteligência artificial</t>
  </si>
  <si>
    <t xml:space="preserve">GRE, DRE, PCP e VAL</t>
  </si>
  <si>
    <t xml:space="preserve">Avaliação futura com métricas linguísticas e validação especializada</t>
  </si>
  <si>
    <t xml:space="preserve">Planejado</t>
  </si>
  <si>
    <t xml:space="preserve">Não</t>
  </si>
  <si>
    <t xml:space="preserve">RNF01</t>
  </si>
  <si>
    <t xml:space="preserve">Não funcional</t>
  </si>
  <si>
    <t xml:space="preserve">Apresentar interface responsiva</t>
  </si>
  <si>
    <t xml:space="preserve">Interface web</t>
  </si>
  <si>
    <t xml:space="preserve">DRE, PCP, VER e VAL</t>
  </si>
  <si>
    <t xml:space="preserve">Testes em computadores e dispositivos móveis</t>
  </si>
  <si>
    <t xml:space="preserve">RNF02</t>
  </si>
  <si>
    <t xml:space="preserve">Disponibilizar modos claro e escuro</t>
  </si>
  <si>
    <t xml:space="preserve">Alternância entre os modos visuais</t>
  </si>
  <si>
    <t xml:space="preserve">RNF03</t>
  </si>
  <si>
    <t xml:space="preserve">Integrar o recurso VLibras</t>
  </si>
  <si>
    <t xml:space="preserve">Acessibilidade</t>
  </si>
  <si>
    <t xml:space="preserve">Ativação e uso do componente nas interfaces</t>
  </si>
  <si>
    <t xml:space="preserve">RNF04</t>
  </si>
  <si>
    <t xml:space="preserve">Restringir áreas internas a usuários autorizados</t>
  </si>
  <si>
    <t xml:space="preserve">Segurança e sessões</t>
  </si>
  <si>
    <t xml:space="preserve">DRE, PCP, VER e GQA</t>
  </si>
  <si>
    <t xml:space="preserve">Tentativas de acesso sem autenticação ou permissão</t>
  </si>
  <si>
    <t xml:space="preserve">RNF05</t>
  </si>
  <si>
    <t xml:space="preserve">Ocultar a estrutura interna por meio de rotas controladas</t>
  </si>
  <si>
    <t xml:space="preserve">Roteamento</t>
  </si>
  <si>
    <t xml:space="preserve">Inspeção das URLs e testes de acesso direto</t>
  </si>
  <si>
    <t xml:space="preserve">Não comprovado documentalmente</t>
  </si>
  <si>
    <t xml:space="preserve">Não comprovado</t>
  </si>
  <si>
    <t xml:space="preserve">Necessita evidência independente.</t>
  </si>
  <si>
    <t xml:space="preserve">RNF06</t>
  </si>
  <si>
    <t xml:space="preserve">Validar e tratar os dados inseridos nos formulários</t>
  </si>
  <si>
    <t xml:space="preserve">Formulários</t>
  </si>
  <si>
    <t xml:space="preserve">Testes com campos vazios, inválidos e caracteres especiais</t>
  </si>
  <si>
    <t xml:space="preserve">RNF07</t>
  </si>
  <si>
    <t xml:space="preserve">Reduzir riscos de injeção e manipulação indevida de dados</t>
  </si>
  <si>
    <t xml:space="preserve">Banco de dados</t>
  </si>
  <si>
    <t xml:space="preserve">PCP, VER e GQA</t>
  </si>
  <si>
    <t xml:space="preserve">Testes de segurança com entradas potencialmente maliciosas</t>
  </si>
  <si>
    <t xml:space="preserve">Verificado em testes</t>
  </si>
  <si>
    <t xml:space="preserve">RNF08</t>
  </si>
  <si>
    <t xml:space="preserve">Manter a integridade entre termos, traduções e mídias</t>
  </si>
  <si>
    <t xml:space="preserve">Testes de inclusão, alteração e consulta de registros relacionados</t>
  </si>
  <si>
    <t xml:space="preserve">RNF09</t>
  </si>
  <si>
    <t xml:space="preserve">Manter desempenho adequado em condições controladas de uso</t>
  </si>
  <si>
    <t xml:space="preserve">Aplicação, servidor e banco de dados</t>
  </si>
  <si>
    <t xml:space="preserve">VER, VAL e GQA</t>
  </si>
  <si>
    <t xml:space="preserve">Testes de carga, latência, throughput e taxa de erro</t>
  </si>
  <si>
    <t xml:space="preserve">Validado em ambiente controlado</t>
  </si>
  <si>
    <t xml:space="preserve">RNF10</t>
  </si>
  <si>
    <t xml:space="preserve">Permitir manutenção e evolução modular</t>
  </si>
  <si>
    <t xml:space="preserve">Arquitetura MVC</t>
  </si>
  <si>
    <t xml:space="preserve">PCP, GCO e MAN</t>
  </si>
  <si>
    <t xml:space="preserve">Inspeção da separação entre apresentação, lógica e dados</t>
  </si>
  <si>
    <t xml:space="preserve">RNF11</t>
  </si>
  <si>
    <t xml:space="preserve">Respeitar aspectos culturais e linguísticos da língua Kayapó</t>
  </si>
  <si>
    <t xml:space="preserve">Revisão bibliográfica e previsão de validação especializada</t>
  </si>
  <si>
    <t xml:space="preserve">RNF12</t>
  </si>
  <si>
    <t xml:space="preserve">Utilizar apenas conteúdos linguísticos e multimídia autorizados</t>
  </si>
  <si>
    <t xml:space="preserve">Gestão de conteúdo</t>
  </si>
  <si>
    <t xml:space="preserve">GRE, GQA e VAL</t>
  </si>
  <si>
    <t xml:space="preserve">Verificação futura de autorizações e consentimentos</t>
  </si>
  <si>
    <t xml:space="preserve">Planejado para implantação</t>
  </si>
  <si>
    <t xml:space="preserve">RASTREABILIDADE — COBERTURA E PROCESSOS</t>
  </si>
  <si>
    <t xml:space="preserve">Resumo derivado da matriz de 27 requisitos. O índice de cobertura é uma convenção de auditoria explicitada.</t>
  </si>
  <si>
    <t xml:space="preserve">Interpretação</t>
  </si>
  <si>
    <t xml:space="preserve">Processo MPS.BR</t>
  </si>
  <si>
    <t xml:space="preserve">Descrição</t>
  </si>
  <si>
    <t xml:space="preserve">Requisitos associados</t>
  </si>
  <si>
    <t xml:space="preserve">Total de requisitos</t>
  </si>
  <si>
    <t xml:space="preserve">Contagem de IDs</t>
  </si>
  <si>
    <t xml:space="preserve">15 funcionais + 12 não funcionais</t>
  </si>
  <si>
    <t xml:space="preserve">GRE</t>
  </si>
  <si>
    <t xml:space="preserve">Gerência de Requisitos</t>
  </si>
  <si>
    <t xml:space="preserve">Funcionais</t>
  </si>
  <si>
    <t xml:space="preserve">Prefixo RF</t>
  </si>
  <si>
    <t xml:space="preserve">Requisitos de comportamento</t>
  </si>
  <si>
    <t xml:space="preserve">DRE</t>
  </si>
  <si>
    <t xml:space="preserve">Desenvolvimento de Requisitos</t>
  </si>
  <si>
    <t xml:space="preserve">Não funcionais</t>
  </si>
  <si>
    <t xml:space="preserve">Prefixo RNF</t>
  </si>
  <si>
    <t xml:space="preserve">Qualidade, segurança, acessibilidade e manutenção</t>
  </si>
  <si>
    <t xml:space="preserve">PCP</t>
  </si>
  <si>
    <t xml:space="preserve">Projeto e Construção do Produto</t>
  </si>
  <si>
    <t xml:space="preserve">Cobertura documental ponderada</t>
  </si>
  <si>
    <t xml:space="preserve">Σ cobertura / total</t>
  </si>
  <si>
    <t xml:space="preserve">1 concluído; 0,5 parcial; 0 planejado/não comprovado</t>
  </si>
  <si>
    <t xml:space="preserve">VER</t>
  </si>
  <si>
    <t xml:space="preserve">Verificação</t>
  </si>
  <si>
    <t xml:space="preserve">Requisitos com alguma evidência</t>
  </si>
  <si>
    <t xml:space="preserve">Cobertura &gt; 0</t>
  </si>
  <si>
    <t xml:space="preserve">Concluídos ou parciais</t>
  </si>
  <si>
    <t xml:space="preserve">VAL</t>
  </si>
  <si>
    <t xml:space="preserve">Validação</t>
  </si>
  <si>
    <t xml:space="preserve">GQA</t>
  </si>
  <si>
    <t xml:space="preserve">Garantia da Qualidade</t>
  </si>
  <si>
    <t xml:space="preserve">GCO</t>
  </si>
  <si>
    <t xml:space="preserve">Gerência de Configuração</t>
  </si>
  <si>
    <t xml:space="preserve">Quantidade</t>
  </si>
  <si>
    <t xml:space="preserve">Percentual</t>
  </si>
  <si>
    <t xml:space="preserve">MAN</t>
  </si>
  <si>
    <t xml:space="preserve">Manutenção</t>
  </si>
  <si>
    <t xml:space="preserve">MODELO DE COLETA — APACHE JMETER</t>
  </si>
  <si>
    <t xml:space="preserve">Preencha uma linha por ciclo de execução. Não há dados fictícios nesta aba.</t>
  </si>
  <si>
    <t xml:space="preserve">Campo</t>
  </si>
  <si>
    <t xml:space="preserve">Unidade</t>
  </si>
  <si>
    <t xml:space="preserve">Obrigatório</t>
  </si>
  <si>
    <t xml:space="preserve">Exemplo de origem</t>
  </si>
  <si>
    <t xml:space="preserve">Usuários simultâneos</t>
  </si>
  <si>
    <t xml:space="preserve">Número de threads ativas</t>
  </si>
  <si>
    <t xml:space="preserve">usuários</t>
  </si>
  <si>
    <t xml:space="preserve">Thread Group</t>
  </si>
  <si>
    <t xml:space="preserve">Usar os cenários 1, 5, 10, 25, 50, 75 e 100.</t>
  </si>
  <si>
    <t xml:space="preserve">Ciclo</t>
  </si>
  <si>
    <t xml:space="preserve">Número da repetição do cenário</t>
  </si>
  <si>
    <t xml:space="preserve">inteiro</t>
  </si>
  <si>
    <t xml:space="preserve">Plano experimental</t>
  </si>
  <si>
    <t xml:space="preserve">Informar quantas repetições foram realizadas.</t>
  </si>
  <si>
    <t xml:space="preserve">Amostras</t>
  </si>
  <si>
    <t xml:space="preserve">Total de requisições no ciclo</t>
  </si>
  <si>
    <t xml:space="preserve">requisições</t>
  </si>
  <si>
    <t xml:space="preserve">Summary Report / .jtl</t>
  </si>
  <si>
    <t xml:space="preserve">Incluir sucessos e falhas.</t>
  </si>
  <si>
    <t xml:space="preserve">Tempo total de resposta</t>
  </si>
  <si>
    <t xml:space="preserve">Soma dos tempos de todas as amostras</t>
  </si>
  <si>
    <t xml:space="preserve">ms</t>
  </si>
  <si>
    <t xml:space="preserve">.jtl</t>
  </si>
  <si>
    <t xml:space="preserve">Permite média ponderada correta.</t>
  </si>
  <si>
    <t xml:space="preserve">Erros</t>
  </si>
  <si>
    <t xml:space="preserve">Número de amostras com falha</t>
  </si>
  <si>
    <t xml:space="preserve">Não registrar apenas percentual.</t>
  </si>
  <si>
    <t xml:space="preserve">Duração</t>
  </si>
  <si>
    <t xml:space="preserve">Tempo efetivo do ciclo</t>
  </si>
  <si>
    <t xml:space="preserve">s</t>
  </si>
  <si>
    <t xml:space="preserve">JMeter / relógio</t>
  </si>
  <si>
    <t xml:space="preserve">Necessário para throughput.</t>
  </si>
  <si>
    <t xml:space="preserve">CPU média</t>
  </si>
  <si>
    <t xml:space="preserve">Média da CPU durante o ciclo</t>
  </si>
  <si>
    <t xml:space="preserve">%</t>
  </si>
  <si>
    <t xml:space="preserve">PerfMon / SO</t>
  </si>
  <si>
    <t xml:space="preserve">Registrar intervalo de amostragem.</t>
  </si>
  <si>
    <t xml:space="preserve">Memória média</t>
  </si>
  <si>
    <t xml:space="preserve">Média da RAM usada no ciclo</t>
  </si>
  <si>
    <t xml:space="preserve">MB</t>
  </si>
  <si>
    <t xml:space="preserve">Manter a mesma definição em todos os ciclos.</t>
  </si>
  <si>
    <t xml:space="preserve">Tempo total resposta (ms)</t>
  </si>
  <si>
    <t xml:space="preserve">Duração (s)</t>
  </si>
  <si>
    <t xml:space="preserve">Observações</t>
  </si>
  <si>
    <t xml:space="preserve">AVALIAÇÃO CRÍTICA E AUDITORIA DE REPRODUTIBILIDADE</t>
  </si>
  <si>
    <t xml:space="preserve">Forças, inconsistências internas, impacto e ações corretivas recomendadas.</t>
  </si>
  <si>
    <t xml:space="preserve">Prioridade</t>
  </si>
  <si>
    <t xml:space="preserve">Área</t>
  </si>
  <si>
    <t xml:space="preserve">Constatação</t>
  </si>
  <si>
    <t xml:space="preserve">Impacto</t>
  </si>
  <si>
    <t xml:space="preserve">Correção recomendada</t>
  </si>
  <si>
    <t xml:space="preserve">Alta</t>
  </si>
  <si>
    <t xml:space="preserve">Benchmark</t>
  </si>
  <si>
    <t xml:space="preserve">A matriz de pontuações 0–4 não aparece no corpo da dissertação; apenas os índices finais são exibidos.</t>
  </si>
  <si>
    <t xml:space="preserve">Impede recalcular o SAW a partir do documento isolado.</t>
  </si>
  <si>
    <t xml:space="preserve">Inserir uma tabela com as 40 pontuações e justificativas; a aba 02 restaura essa matriz.</t>
  </si>
  <si>
    <t xml:space="preserve">Média</t>
  </si>
  <si>
    <t xml:space="preserve">A Tabela 3 visível contém 0, 1, 2 e 3, mas omite a linha 4, embora a fórmula use 4 como máximo.</t>
  </si>
  <si>
    <t xml:space="preserve">Ambiguidade na escala ordinal.</t>
  </si>
  <si>
    <t xml:space="preserve">Incluir “4 = característica abrangente/operacional” na tabela.</t>
  </si>
  <si>
    <t xml:space="preserve">Não são informados avaliadores independentes, protocolo de consenso ou concordância interavaliadores.</t>
  </si>
  <si>
    <t xml:space="preserve">Pontuações documentais ficam suscetíveis a viés do avaliador.</t>
  </si>
  <si>
    <t xml:space="preserve">Usar dois ou mais avaliadores e relatar Kappa ponderado ou ICC, com resolução de divergências.</t>
  </si>
  <si>
    <t xml:space="preserve">Desempenho</t>
  </si>
  <si>
    <t xml:space="preserve">Não são disponibilizados arquivos .jtl, scripts JMeter, quantidade exata de ciclos, ramp-up, duração, think time e endpoints.</t>
  </si>
  <si>
    <t xml:space="preserve">O experimento não pode ser repetido de modo independente.</t>
  </si>
  <si>
    <t xml:space="preserve">Publicar plano .jmx, logs .jtl, ambiente e protocolo completo; usar a aba 11.</t>
  </si>
  <si>
    <t xml:space="preserve">Hardware, SO, versões do PHP, SQL, servidor web e JMeter não são completamente especificados.</t>
  </si>
  <si>
    <t xml:space="preserve">Comparações externas podem produzir resultados diferentes.</t>
  </si>
  <si>
    <t xml:space="preserve">Adicionar tabela de ambiente e versões, além de aquecimento e controle de processos concorrentes.</t>
  </si>
  <si>
    <t xml:space="preserve">Os resultados são agregados sem dispersão, intervalos de confiança ou número de repetições.</t>
  </si>
  <si>
    <t xml:space="preserve">Não é possível estimar variabilidade nem significância.</t>
  </si>
  <si>
    <t xml:space="preserve">Relatar média, desvio-padrão, mediana, p95/p99 e IC95% por cenário.</t>
  </si>
  <si>
    <t xml:space="preserve">Segurança</t>
  </si>
  <si>
    <t xml:space="preserve">O texto menciona XLNet com 470 pontos, mas a Tabela 6 não contém XLNet; os modelos tabulados são GPT-2, BERT e T5.</t>
  </si>
  <si>
    <t xml:space="preserve">Contradição factual e resultado não verificável.</t>
  </si>
  <si>
    <t xml:space="preserve">Remover a referência a XLNet ou adicionar sua coluna e escores.</t>
  </si>
  <si>
    <t xml:space="preserve">A Tabela 6 é chamada de percentual, mas apresenta escores 0–100 por categoria e totais até 700.</t>
  </si>
  <si>
    <t xml:space="preserve">Pode confundir escore com percentual.</t>
  </si>
  <si>
    <t xml:space="preserve">Renomear para “escores de conformidade” e apresentar total/700 e percentual calculado.</t>
  </si>
  <si>
    <t xml:space="preserve">A frequência publicada troca uma ocorrência entre Estética (4 publicada; 3 derivada) e Controle (3 publicada; 4 derivada).</t>
  </si>
  <si>
    <t xml:space="preserve">A Tabela 7 não corresponde às 22 linhas dos Quadros 1–5.</t>
  </si>
  <si>
    <t xml:space="preserve">Corrigir as duas frequências e percentuais: Estética 3 (13,64%) e Controle 4 (18,18%).</t>
  </si>
  <si>
    <t xml:space="preserve">No Quadro 4, a linha de menu lateral está identificada como tela “Principal”, embora pertença à seção Estatísticas.</t>
  </si>
  <si>
    <t xml:space="preserve">Afeta a agregação por tela se usada literalmente.</t>
  </si>
  <si>
    <t xml:space="preserve">Alterar a tela para “Estatísticas” ou justificar a classificação.</t>
  </si>
  <si>
    <t xml:space="preserve">O Quadro 5 diz que feedback de erro/sucesso é visível e tem severidade 0; a narrativa seguinte afirma ausência de mensagens claras.</t>
  </si>
  <si>
    <t xml:space="preserve">Conclusões de usabilidade ficam contraditórias.</t>
  </si>
  <si>
    <t xml:space="preserve">Revisar a interface e manter uma única evidência, com captura e critério de aceitação.</t>
  </si>
  <si>
    <t xml:space="preserve">Baixa</t>
  </si>
  <si>
    <t xml:space="preserve">Rastreabilidade</t>
  </si>
  <si>
    <t xml:space="preserve">O texto usa “Quadro X” antes de apresentar o Quadro 6.</t>
  </si>
  <si>
    <t xml:space="preserve">Falha editorial.</t>
  </si>
  <si>
    <t xml:space="preserve">Substituir por “Quadro 6”.</t>
  </si>
  <si>
    <t xml:space="preserve">Status como “Implementado”, “Validado” e “Verificado” não possuem links para casos de teste, commits ou evidências versionadas.</t>
  </si>
  <si>
    <t xml:space="preserve">A matriz demonstra cobertura conceitual, mas não auditoria técnica completa.</t>
  </si>
  <si>
    <t xml:space="preserve">Adicionar ID do teste, resultado, data, versão e responsável.</t>
  </si>
  <si>
    <t xml:space="preserve">Geral</t>
  </si>
  <si>
    <t xml:space="preserve">Há erros de numeração e terminologia, como “Beckmark” e referência a “Tabela 1” quando o resultado está na Tabela 6.</t>
  </si>
  <si>
    <t xml:space="preserve">Reduz clareza e rastreabilidade editorial.</t>
  </si>
  <si>
    <t xml:space="preserve">Executar revisão técnica de numeração, títulos e referências cruzadas.</t>
  </si>
  <si>
    <t xml:space="preserve">Positiva</t>
  </si>
  <si>
    <t xml:space="preserve">O estudo integra engenharia de software, acessibilidade, segurança, desempenho, usabilidade e tecnologia social.</t>
  </si>
  <si>
    <t xml:space="preserve">Boa abrangência para um artefato tecnológico aplicado.</t>
  </si>
  <si>
    <t xml:space="preserve">Manter a abordagem integrada e separar claramente resultados medidos, inferidos e planejados.</t>
  </si>
  <si>
    <t xml:space="preserve">Resultados</t>
  </si>
  <si>
    <t xml:space="preserve">Os cálculos globais de severidade (14/22 sem problema, 8/22 leves e média 0,36) e os índices SAW publicados são matematicamente reproduzíveis com os dados restaurados.</t>
  </si>
  <si>
    <t xml:space="preserve">Há coerência nos principais resultados quantitativos, apesar das lacunas documentais.</t>
  </si>
  <si>
    <t xml:space="preserve">Anexar esta planilha e os dados brutos como material suplementar.</t>
  </si>
  <si>
    <t xml:space="preserve">PAINEL DE RESULTADOS E REPRODUTIBILIDADE</t>
  </si>
  <si>
    <t xml:space="preserve">Síntese da dissertação: benchmark, usabilidade, desempenho, segurança e requisitos.</t>
  </si>
  <si>
    <t xml:space="preserve">Benchmark Kayapó — equilibrado</t>
  </si>
  <si>
    <t xml:space="preserve">Benchmark Kayapó — algorítmico</t>
  </si>
  <si>
    <t xml:space="preserve">Benchmark Kayapó — sociotécnico</t>
  </si>
  <si>
    <t xml:space="preserve">Média de severidade</t>
  </si>
  <si>
    <t xml:space="preserve">Aspectos com problema (%)</t>
  </si>
  <si>
    <t xml:space="preserve">Resposta a 100 usuários (s)</t>
  </si>
  <si>
    <t xml:space="preserve">Erro a 100 usuários (%)</t>
  </si>
  <si>
    <t xml:space="preserve">Cobertura documental (%)</t>
  </si>
  <si>
    <t xml:space="preserve">Principais conclusões</t>
  </si>
  <si>
    <t xml:space="preserve">O SAW confirma perfis distintos: a Plataforma Kayapó lidera nos cenários equilibrado (87,5) e sociotécnico (91,0), enquanto o AmericasNLP lidera no cenário algorítmico (77,0).</t>
  </si>
  <si>
    <t xml:space="preserve">A avaliação heurística registra 8 problemas leves em 22 aspectos, sem problemas moderados ou graves. A média de severidade é 0,36.</t>
  </si>
  <si>
    <t xml:space="preserve">O desempenho permanece mais favorável até 50 usuários. Aos 100 usuários: 3,15 s, 4,7% de erro, 64,1 req/s, 88% de CPU e 1.190 MB de memória.</t>
  </si>
  <si>
    <t xml:space="preserve">A matriz contém 27 requisitos. A cobertura documental ponderada é calculada nesta planilha; não substitui evidências versionadas de teste.</t>
  </si>
  <si>
    <t xml:space="preserve">Alertas de auditoria</t>
  </si>
  <si>
    <t xml:space="preserve">Prioridades: (1) anexar matriz 0–4 do benchmark e justificativas; (2) publicar .jmx/.jtl e ambiente de teste; (3) corrigir a menção a XLNet; (4) corrigir a frequência das heurísticas Estética/Controle; (5) resolver a contradição sobre feedback na tela de mensagens. Consulte a aba 12 para a avaliação completa.</t>
  </si>
  <si>
    <t xml:space="preserve">Resposta (s)</t>
  </si>
  <si>
    <t xml:space="preserve">CPU (%)</t>
  </si>
  <si>
    <t xml:space="preserve">Memória/15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</si>
</sst>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2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1F1F"/>
      <name val="Aptos"/>
      <family val="0"/>
      <charset val="1"/>
    </font>
    <font>
      <sz val="11"/>
      <color theme="1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10"/>
      <color rgb="FF1F1F1F"/>
      <name val="Aptos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1F1F1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rgb="FF1F1F1F"/>
      <name val="Calibri"/>
      <family val="0"/>
      <charset val="1"/>
    </font>
    <font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0"/>
      <color rgb="FF1F1F1F"/>
      <name val="Calibri"/>
      <family val="0"/>
      <charset val="1"/>
    </font>
    <font>
      <b val="true"/>
      <sz val="18"/>
      <color rgb="FF1F4E78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D9EAF7"/>
        <bgColor rgb="FFD1ECF8"/>
      </patternFill>
    </fill>
    <fill>
      <patternFill patternType="solid">
        <fgColor rgb="FF1F4E78"/>
        <bgColor rgb="FF156082"/>
      </patternFill>
    </fill>
    <fill>
      <patternFill patternType="solid">
        <fgColor rgb="FFF2F2F2"/>
        <bgColor rgb="FFFFFFFF"/>
      </patternFill>
    </fill>
    <fill>
      <patternFill patternType="solid">
        <fgColor rgb="FF0F6B78"/>
        <bgColor rgb="FF15608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0F6B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8796E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A9974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274E13"/>
      </font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49D45B"/>
      <rgbColor rgb="FF0000FF"/>
      <rgbColor rgb="FFF2F2F2"/>
      <rgbColor rgb="FFFF00FF"/>
      <rgbColor rgb="FF00FFFF"/>
      <rgbColor rgb="FF9C0006"/>
      <rgbColor rgb="FF196B24"/>
      <rgbColor rgb="FF000080"/>
      <rgbColor rgb="FF7F6000"/>
      <rgbColor rgb="FF800080"/>
      <rgbColor rgb="FF0F6B78"/>
      <rgbColor rgb="FFB7B7B7"/>
      <rgbColor rgb="FF757575"/>
      <rgbColor rgb="FF9999FF"/>
      <rgbColor rgb="FFA02B93"/>
      <rgbColor rgb="FFFFF2CC"/>
      <rgbColor rgb="FFD1ECF8"/>
      <rgbColor rgb="FF660066"/>
      <rgbColor rgb="FFF09C7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D9EAF7"/>
      <rgbColor rgb="FFD9EAD3"/>
      <rgbColor rgb="FFFCE4D6"/>
      <rgbColor rgb="FF86D7F7"/>
      <rgbColor rgb="FFF4CCCC"/>
      <rgbColor rgb="FFDE86D5"/>
      <rgbColor rgb="FFF8D1BC"/>
      <rgbColor rgb="FF3366FF"/>
      <rgbColor rgb="FF4EB4E2"/>
      <rgbColor rgb="FFA4E08E"/>
      <rgbColor rgb="FFFFCC00"/>
      <rgbColor rgb="FFFF9900"/>
      <rgbColor rgb="FFE97132"/>
      <rgbColor rgb="FF5B90A8"/>
      <rgbColor rgb="FFA6A6A6"/>
      <rgbColor rgb="FF17365D"/>
      <rgbColor rgb="FF4EA72E"/>
      <rgbColor rgb="FF1A1A1A"/>
      <rgbColor rgb="FF274E13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Índice multicritério SAW por cenário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"Automação da tradução"</c:f>
              <c:strCache>
                <c:ptCount val="1"/>
                <c:pt idx="0">
                  <c:v>Automação da tradução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'02_Benchmark_SAW'!$B$23:$B$26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"Adaptação a baixo recurso"</c:f>
              <c:strCache>
                <c:ptCount val="1"/>
                <c:pt idx="0">
                  <c:v>Adaptação a baixo recurso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'02_Benchmark_SAW'!$C$23:$C$26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</c:ser>
        <c:ser>
          <c:idx val="2"/>
          <c:order val="2"/>
          <c:tx>
            <c:strRef>
              <c:f>"Multimodalidade"</c:f>
              <c:strCache>
                <c:ptCount val="1"/>
                <c:pt idx="0">
                  <c:v>Multimodalidade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'02_Benchmark_SAW'!$D$23:$D$26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3"/>
          <c:order val="3"/>
          <c:tx>
            <c:strRef>
              <c:f>"Acessibilidade e usabilidade"</c:f>
              <c:strCache>
                <c:ptCount val="1"/>
                <c:pt idx="0">
                  <c:v>Acessibilidade e usabilidade</c:v>
                </c:pt>
              </c:strCache>
            </c:strRef>
          </c:tx>
          <c:spPr>
            <a:solidFill>
              <a:srgbClr val="0F9ED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'02_Benchmark_SAW'!$E$23:$E$26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4"/>
          <c:order val="4"/>
          <c:tx>
            <c:strRef>
              <c:f>"Apoio educacional"</c:f>
              <c:strCache>
                <c:ptCount val="1"/>
                <c:pt idx="0">
                  <c:v>Apoio educacional</c:v>
                </c:pt>
              </c:strCache>
            </c:strRef>
          </c:tx>
          <c:spPr>
            <a:solidFill>
              <a:srgbClr val="A02B93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'02_Benchmark_SAW'!$F$23:$F$26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</c:ser>
        <c:ser>
          <c:idx val="5"/>
          <c:order val="5"/>
          <c:tx>
            <c:strRef>
              <c:f>"Gestão do acervo linguístico"</c:f>
              <c:strCache>
                <c:ptCount val="1"/>
                <c:pt idx="0">
                  <c:v>Gestão do acervo linguístico</c:v>
                </c:pt>
              </c:strCache>
            </c:strRef>
          </c:tx>
          <c:spPr>
            <a:solidFill>
              <a:srgbClr val="4EA72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'02_Benchmark_SAW'!$G$23:$G$26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6"/>
          <c:order val="6"/>
          <c:tx>
            <c:strRef>
              <c:f>"Orientação cultural e comunitária"</c:f>
              <c:strCache>
                <c:ptCount val="1"/>
                <c:pt idx="0">
                  <c:v>Orientação cultural e comunitária</c:v>
                </c:pt>
              </c:strCache>
            </c:strRef>
          </c:tx>
          <c:spPr>
            <a:solidFill>
              <a:srgbClr val="4EB4E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'02_Benchmark_SAW'!$H$23:$H$26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7"/>
          <c:order val="7"/>
          <c:tx>
            <c:strRef>
              <c:f>"Reprodutibilidade e benchmarking"</c:f>
              <c:strCache>
                <c:ptCount val="1"/>
                <c:pt idx="0">
                  <c:v>Reprodutibilidade e benchmarking</c:v>
                </c:pt>
              </c:strCache>
            </c:strRef>
          </c:tx>
          <c:spPr>
            <a:solidFill>
              <a:srgbClr val="F8D1BC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'02_Benchmark_SAW'!$I$23:$I$26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</c:ser>
        <c:ser>
          <c:idx val="8"/>
          <c:order val="8"/>
          <c:tx>
            <c:strRef>
              <c:f>"Implantação operacional"</c:f>
              <c:strCache>
                <c:ptCount val="1"/>
                <c:pt idx="0">
                  <c:v>Implantação operacional</c:v>
                </c:pt>
              </c:strCache>
            </c:strRef>
          </c:tx>
          <c:spPr>
            <a:solidFill>
              <a:srgbClr val="49D45B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'02_Benchmark_SAW'!$J$23:$J$26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ser>
          <c:idx val="9"/>
          <c:order val="9"/>
          <c:tx>
            <c:strRef>
              <c:f>"Sustentabilidade e manutenção"</c:f>
              <c:strCache>
                <c:ptCount val="1"/>
                <c:pt idx="0">
                  <c:v>Sustentabilidade e manutenção</c:v>
                </c:pt>
              </c:strCache>
            </c:strRef>
          </c:tx>
          <c:spPr>
            <a:solidFill>
              <a:srgbClr val="86D7F7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'02_Benchmark_SAW'!$K$23:$K$26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</c:ser>
        <c:ser>
          <c:idx val="10"/>
          <c:order val="10"/>
          <c:tx>
            <c:strRef>
              <c:f>"SAW equilibrado"</c:f>
              <c:strCache>
                <c:ptCount val="1"/>
                <c:pt idx="0">
                  <c:v>SAW equilibrado</c:v>
                </c:pt>
              </c:strCache>
            </c:strRef>
          </c:tx>
          <c:spPr>
            <a:solidFill>
              <a:srgbClr val="DE86D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'02_Benchmark_SAW'!$L$23:$L$26</c:f>
              <c:numCache>
                <c:formatCode>0.0</c:formatCode>
                <c:ptCount val="4"/>
                <c:pt idx="0">
                  <c:v>42.5</c:v>
                </c:pt>
                <c:pt idx="1">
                  <c:v>55</c:v>
                </c:pt>
                <c:pt idx="2">
                  <c:v>42.5</c:v>
                </c:pt>
                <c:pt idx="3">
                  <c:v>87.5</c:v>
                </c:pt>
              </c:numCache>
            </c:numRef>
          </c:val>
        </c:ser>
        <c:ser>
          <c:idx val="11"/>
          <c:order val="11"/>
          <c:tx>
            <c:strRef>
              <c:f>"SAW algorítmico"</c:f>
              <c:strCache>
                <c:ptCount val="1"/>
                <c:pt idx="0">
                  <c:v>SAW algorítmico</c:v>
                </c:pt>
              </c:strCache>
            </c:strRef>
          </c:tx>
          <c:spPr>
            <a:solidFill>
              <a:srgbClr val="A4E08E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'02_Benchmark_SAW'!$M$23:$M$26</c:f>
              <c:numCache>
                <c:formatCode>0.0</c:formatCode>
                <c:ptCount val="4"/>
                <c:pt idx="0">
                  <c:v>63</c:v>
                </c:pt>
                <c:pt idx="1">
                  <c:v>77</c:v>
                </c:pt>
                <c:pt idx="2">
                  <c:v>71</c:v>
                </c:pt>
                <c:pt idx="3">
                  <c:v>73.5</c:v>
                </c:pt>
              </c:numCache>
            </c:numRef>
          </c:val>
        </c:ser>
        <c:ser>
          <c:idx val="12"/>
          <c:order val="12"/>
          <c:tx>
            <c:strRef>
              <c:f>"SAW sociotécnico"</c:f>
              <c:strCache>
                <c:ptCount val="1"/>
                <c:pt idx="0">
                  <c:v>SAW sociotécnico</c:v>
                </c:pt>
              </c:strCache>
            </c:strRef>
          </c:tx>
          <c:spPr>
            <a:solidFill>
              <a:srgbClr val="D1ECF8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'02_Benchmark_SAW'!$A$23:$A$26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'02_Benchmark_SAW'!$N$23:$N$26</c:f>
              <c:numCache>
                <c:formatCode>0.0</c:formatCode>
                <c:ptCount val="4"/>
                <c:pt idx="0">
                  <c:v>37.5</c:v>
                </c:pt>
                <c:pt idx="1">
                  <c:v>48.5</c:v>
                </c:pt>
                <c:pt idx="2">
                  <c:v>33.5</c:v>
                </c:pt>
                <c:pt idx="3">
                  <c:v>91</c:v>
                </c:pt>
              </c:numCache>
            </c:numRef>
          </c:val>
        </c:ser>
        <c:gapWidth val="150"/>
        <c:overlap val="0"/>
        <c:axId val="85569058"/>
        <c:axId val="10116038"/>
      </c:barChart>
      <c:catAx>
        <c:axId val="855690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0116038"/>
        <c:crosses val="autoZero"/>
        <c:auto val="1"/>
        <c:lblAlgn val="ctr"/>
        <c:lblOffset val="100"/>
        <c:noMultiLvlLbl val="0"/>
      </c:catAx>
      <c:valAx>
        <c:axId val="1011603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55690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Aspectos por tela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"Itens"</c:f>
              <c:strCache>
                <c:ptCount val="1"/>
                <c:pt idx="0">
                  <c:v>Itens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'05_Heuristica_Resumo'!$A$15:$A$19</c:f>
              <c:strCache>
                <c:ptCount val="5"/>
                <c:pt idx="0">
                  <c:v>Login</c:v>
                </c:pt>
                <c:pt idx="1">
                  <c:v>Principal</c:v>
                </c:pt>
                <c:pt idx="2">
                  <c:v>Módulo</c:v>
                </c:pt>
                <c:pt idx="3">
                  <c:v>Estatísticas</c:v>
                </c:pt>
                <c:pt idx="4">
                  <c:v>Mensagens</c:v>
                </c:pt>
              </c:strCache>
            </c:strRef>
          </c:cat>
          <c:val>
            <c:numRef>
              <c:f>'05_Heuristica_Resumo'!$B$15:$B$19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"Sem problema"</c:f>
              <c:strCache>
                <c:ptCount val="1"/>
                <c:pt idx="0">
                  <c:v>Sem problema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'05_Heuristica_Resumo'!$A$15:$A$19</c:f>
              <c:strCache>
                <c:ptCount val="5"/>
                <c:pt idx="0">
                  <c:v>Login</c:v>
                </c:pt>
                <c:pt idx="1">
                  <c:v>Principal</c:v>
                </c:pt>
                <c:pt idx="2">
                  <c:v>Módulo</c:v>
                </c:pt>
                <c:pt idx="3">
                  <c:v>Estatísticas</c:v>
                </c:pt>
                <c:pt idx="4">
                  <c:v>Mensagens</c:v>
                </c:pt>
              </c:strCache>
            </c:strRef>
          </c:cat>
          <c:val>
            <c:numRef>
              <c:f>'05_Heuristica_Resumo'!$C$15:$C$19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</c:ser>
        <c:ser>
          <c:idx val="2"/>
          <c:order val="2"/>
          <c:tx>
            <c:strRef>
              <c:f>"Com problema"</c:f>
              <c:strCache>
                <c:ptCount val="1"/>
                <c:pt idx="0">
                  <c:v>Com problema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'05_Heuristica_Resumo'!$A$15:$A$19</c:f>
              <c:strCache>
                <c:ptCount val="5"/>
                <c:pt idx="0">
                  <c:v>Login</c:v>
                </c:pt>
                <c:pt idx="1">
                  <c:v>Principal</c:v>
                </c:pt>
                <c:pt idx="2">
                  <c:v>Módulo</c:v>
                </c:pt>
                <c:pt idx="3">
                  <c:v>Estatísticas</c:v>
                </c:pt>
                <c:pt idx="4">
                  <c:v>Mensagens</c:v>
                </c:pt>
              </c:strCache>
            </c:strRef>
          </c:cat>
          <c:val>
            <c:numRef>
              <c:f>'05_Heuristica_Resumo'!$D$15:$D$19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91273923"/>
        <c:axId val="11505541"/>
      </c:barChart>
      <c:catAx>
        <c:axId val="912739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1505541"/>
        <c:crosses val="autoZero"/>
        <c:auto val="1"/>
        <c:lblAlgn val="ctr"/>
        <c:lblOffset val="100"/>
        <c:noMultiLvlLbl val="0"/>
      </c:catAx>
      <c:valAx>
        <c:axId val="1150554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12739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Frequência: publicada x recalculada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"Frequência publicada"</c:f>
              <c:strCache>
                <c:ptCount val="1"/>
                <c:pt idx="0">
                  <c:v>Frequência publicada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'05_Heuristica_Resumo'!$I$6:$I$14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"% publicado"</c:f>
              <c:strCache>
                <c:ptCount val="1"/>
                <c:pt idx="0">
                  <c:v>% publicado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'05_Heuristica_Resumo'!$J$6:$J$14</c:f>
              <c:numCache>
                <c:formatCode>0.00</c:formatCode>
                <c:ptCount val="9"/>
                <c:pt idx="0">
                  <c:v>18.18</c:v>
                </c:pt>
                <c:pt idx="1">
                  <c:v>18.18</c:v>
                </c:pt>
                <c:pt idx="2">
                  <c:v>13.64</c:v>
                </c:pt>
                <c:pt idx="3">
                  <c:v>13.64</c:v>
                </c:pt>
                <c:pt idx="4">
                  <c:v>9.09</c:v>
                </c:pt>
                <c:pt idx="5">
                  <c:v>9.09</c:v>
                </c:pt>
                <c:pt idx="6">
                  <c:v>9.09</c:v>
                </c:pt>
                <c:pt idx="7">
                  <c:v>4.55</c:v>
                </c:pt>
                <c:pt idx="8">
                  <c:v>4.55</c:v>
                </c:pt>
              </c:numCache>
            </c:numRef>
          </c:val>
        </c:ser>
        <c:ser>
          <c:idx val="2"/>
          <c:order val="2"/>
          <c:tx>
            <c:strRef>
              <c:f>"Frequência recalculada"</c:f>
              <c:strCache>
                <c:ptCount val="1"/>
                <c:pt idx="0">
                  <c:v>Frequência recalculada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'05_Heuristica_Resumo'!$K$6:$K$14</c:f>
              <c:numCache>
                <c:formatCode>0.00</c:formatCode>
                <c:ptCount val="9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3"/>
          <c:order val="3"/>
          <c:tx>
            <c:strRef>
              <c:f>"% recalculado"</c:f>
              <c:strCache>
                <c:ptCount val="1"/>
                <c:pt idx="0">
                  <c:v>% recalculado</c:v>
                </c:pt>
              </c:strCache>
            </c:strRef>
          </c:tx>
          <c:spPr>
            <a:solidFill>
              <a:srgbClr val="0F9ED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'05_Heuristica_Resumo'!$H$6:$H$14</c:f>
              <c:strCache>
                <c:ptCount val="9"/>
                <c:pt idx="0">
                  <c:v>Consistência e padrões</c:v>
                </c:pt>
                <c:pt idx="1">
                  <c:v>Estética e design minimalista</c:v>
                </c:pt>
                <c:pt idx="2">
                  <c:v>Controle e liberdade do usuário</c:v>
                </c:pt>
                <c:pt idx="3">
                  <c:v>Visibilidade do status do sistema</c:v>
                </c:pt>
                <c:pt idx="4">
                  <c:v>Flexibilidade e eficiência de uso</c:v>
                </c:pt>
                <c:pt idx="5">
                  <c:v>Reconhecimento em vez de memorização</c:v>
                </c:pt>
                <c:pt idx="6">
                  <c:v>Correspondência entre sistema e mundo real</c:v>
                </c:pt>
                <c:pt idx="7">
                  <c:v>Ajuda e documentação</c:v>
                </c:pt>
                <c:pt idx="8">
                  <c:v>Ajuda a reconhecer, diagnosticar e corrigir erros</c:v>
                </c:pt>
              </c:strCache>
            </c:strRef>
          </c:cat>
          <c:val>
            <c:numRef>
              <c:f>'05_Heuristica_Resumo'!$L$6:$L$14</c:f>
              <c:numCache>
                <c:formatCode>0.00</c:formatCode>
                <c:ptCount val="9"/>
                <c:pt idx="0">
                  <c:v>18.18181818</c:v>
                </c:pt>
                <c:pt idx="1">
                  <c:v>13.63636364</c:v>
                </c:pt>
                <c:pt idx="2">
                  <c:v>18.18181818</c:v>
                </c:pt>
                <c:pt idx="3">
                  <c:v>13.63636364</c:v>
                </c:pt>
                <c:pt idx="4">
                  <c:v>9.090909091</c:v>
                </c:pt>
                <c:pt idx="5">
                  <c:v>9.090909091</c:v>
                </c:pt>
                <c:pt idx="6">
                  <c:v>9.090909091</c:v>
                </c:pt>
                <c:pt idx="7">
                  <c:v>4.545454545</c:v>
                </c:pt>
                <c:pt idx="8">
                  <c:v>4.545454545</c:v>
                </c:pt>
              </c:numCache>
            </c:numRef>
          </c:val>
        </c:ser>
        <c:gapWidth val="150"/>
        <c:overlap val="0"/>
        <c:axId val="89552549"/>
        <c:axId val="64290926"/>
      </c:barChart>
      <c:catAx>
        <c:axId val="895525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4290926"/>
        <c:crosses val="autoZero"/>
        <c:auto val="1"/>
        <c:lblAlgn val="ctr"/>
        <c:lblOffset val="100"/>
        <c:noMultiLvlLbl val="0"/>
      </c:catAx>
      <c:valAx>
        <c:axId val="6429092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95525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Resposta, erro e throughput por carga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"Resposta média (s)"</c:f>
              <c:strCache>
                <c:ptCount val="1"/>
                <c:pt idx="0">
                  <c:v>Resposta média (s)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'06_Desempenho_Carga'!$B$6:$B$12</c:f>
              <c:numCache>
                <c:formatCode>0.00</c:formatCode>
                <c:ptCount val="7"/>
                <c:pt idx="0">
                  <c:v>0.42</c:v>
                </c:pt>
                <c:pt idx="1">
                  <c:v>0.51</c:v>
                </c:pt>
                <c:pt idx="2">
                  <c:v>0.68</c:v>
                </c:pt>
                <c:pt idx="3">
                  <c:v>0.95</c:v>
                </c:pt>
                <c:pt idx="4">
                  <c:v>1.48</c:v>
                </c:pt>
                <c:pt idx="5">
                  <c:v>2.21</c:v>
                </c:pt>
                <c:pt idx="6">
                  <c:v>3.15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"Erro (%)"</c:f>
              <c:strCache>
                <c:ptCount val="1"/>
                <c:pt idx="0">
                  <c:v>Erro (%)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'06_Desempenho_Carga'!$C$6:$C$12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1.4</c:v>
                </c:pt>
                <c:pt idx="5">
                  <c:v>2.9</c:v>
                </c:pt>
                <c:pt idx="6">
                  <c:v>4.7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"Throughput (req/s)"</c:f>
              <c:strCache>
                <c:ptCount val="1"/>
                <c:pt idx="0">
                  <c:v>Throughput (req/s)</c:v>
                </c:pt>
              </c:strCache>
            </c:strRef>
          </c:tx>
          <c:spPr>
            <a:solidFill>
              <a:srgbClr val="196B24"/>
            </a:solidFill>
            <a:ln w="1260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'06_Desempenho_Carga'!$D$6:$D$12</c:f>
              <c:numCache>
                <c:formatCode>0.00</c:formatCode>
                <c:ptCount val="7"/>
                <c:pt idx="0">
                  <c:v>2.1</c:v>
                </c:pt>
                <c:pt idx="1">
                  <c:v>9.4</c:v>
                </c:pt>
                <c:pt idx="2">
                  <c:v>17.8</c:v>
                </c:pt>
                <c:pt idx="3">
                  <c:v>37.5</c:v>
                </c:pt>
                <c:pt idx="4">
                  <c:v>54.2</c:v>
                </c:pt>
                <c:pt idx="5">
                  <c:v>61.8</c:v>
                </c:pt>
                <c:pt idx="6">
                  <c:v>64.1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7391457"/>
        <c:axId val="64964616"/>
      </c:lineChart>
      <c:catAx>
        <c:axId val="873914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4964616"/>
        <c:crosses val="autoZero"/>
        <c:auto val="1"/>
        <c:lblAlgn val="ctr"/>
        <c:lblOffset val="100"/>
        <c:noMultiLvlLbl val="0"/>
      </c:catAx>
      <c:valAx>
        <c:axId val="6496461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73914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Recursos computacionais por carga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'06_Desempenho_Carga'!$B$6:$B$12</c:f>
              <c:numCache>
                <c:formatCode>0.00</c:formatCode>
                <c:ptCount val="7"/>
                <c:pt idx="0">
                  <c:v>0.42</c:v>
                </c:pt>
                <c:pt idx="1">
                  <c:v>0.51</c:v>
                </c:pt>
                <c:pt idx="2">
                  <c:v>0.68</c:v>
                </c:pt>
                <c:pt idx="3">
                  <c:v>0.95</c:v>
                </c:pt>
                <c:pt idx="4">
                  <c:v>1.48</c:v>
                </c:pt>
                <c:pt idx="5">
                  <c:v>2.21</c:v>
                </c:pt>
                <c:pt idx="6">
                  <c:v>3.15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'06_Desempenho_Carga'!$C$6:$C$12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1.4</c:v>
                </c:pt>
                <c:pt idx="5">
                  <c:v>2.9</c:v>
                </c:pt>
                <c:pt idx="6">
                  <c:v>4.7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196B24"/>
            </a:solidFill>
            <a:ln w="1260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'06_Desempenho_Carga'!$D$6:$D$12</c:f>
              <c:numCache>
                <c:formatCode>0.00</c:formatCode>
                <c:ptCount val="7"/>
                <c:pt idx="0">
                  <c:v>2.1</c:v>
                </c:pt>
                <c:pt idx="1">
                  <c:v>9.4</c:v>
                </c:pt>
                <c:pt idx="2">
                  <c:v>17.8</c:v>
                </c:pt>
                <c:pt idx="3">
                  <c:v>37.5</c:v>
                </c:pt>
                <c:pt idx="4">
                  <c:v>54.2</c:v>
                </c:pt>
                <c:pt idx="5">
                  <c:v>61.8</c:v>
                </c:pt>
                <c:pt idx="6">
                  <c:v>64.1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0F9ED5"/>
            </a:solidFill>
            <a:ln w="1260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'06_Desempenho_Carga'!$E$6:$E$12</c:f>
              <c:numCache>
                <c:formatCode>0.0</c:formatCode>
                <c:ptCount val="7"/>
                <c:pt idx="0">
                  <c:v>12</c:v>
                </c:pt>
                <c:pt idx="1">
                  <c:v>18</c:v>
                </c:pt>
                <c:pt idx="2">
                  <c:v>27</c:v>
                </c:pt>
                <c:pt idx="3">
                  <c:v>43</c:v>
                </c:pt>
                <c:pt idx="4">
                  <c:v>61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A02B93"/>
            </a:solidFill>
            <a:ln w="1260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'06_Desempenho_Carga'!$F$6:$F$12</c:f>
              <c:numCache>
                <c:formatCode>0.0</c:formatCode>
                <c:ptCount val="7"/>
                <c:pt idx="0">
                  <c:v>340</c:v>
                </c:pt>
                <c:pt idx="1">
                  <c:v>410</c:v>
                </c:pt>
                <c:pt idx="2">
                  <c:v>520</c:v>
                </c:pt>
                <c:pt idx="3">
                  <c:v>690</c:v>
                </c:pt>
                <c:pt idx="4">
                  <c:v>870</c:v>
                </c:pt>
                <c:pt idx="5">
                  <c:v>1040</c:v>
                </c:pt>
                <c:pt idx="6">
                  <c:v>1190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4EA72E"/>
            </a:solidFill>
            <a:ln w="12600">
              <a:solidFill>
                <a:srgbClr val="4EA7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'06_Desempenho_Carga'!$G$6:$G$12</c:f>
              <c:numCache>
                <c:formatCode>0.0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99.8</c:v>
                </c:pt>
                <c:pt idx="3">
                  <c:v>99.4</c:v>
                </c:pt>
                <c:pt idx="4">
                  <c:v>98.6</c:v>
                </c:pt>
                <c:pt idx="5">
                  <c:v>97.1</c:v>
                </c:pt>
                <c:pt idx="6">
                  <c:v>95.3</c:v>
                </c:pt>
              </c:numCache>
            </c:numRef>
          </c:val>
          <c:smooth val="0"/>
        </c:ser>
        <c:ser>
          <c:idx val="6"/>
          <c:order val="6"/>
          <c:spPr>
            <a:solidFill>
              <a:srgbClr val="5B90A8"/>
            </a:solidFill>
            <a:ln w="12600">
              <a:solidFill>
                <a:srgbClr val="5B90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'06_Desempenho_Carga'!$H$6:$H$12</c:f>
              <c:numCache>
                <c:formatCode>0.00</c:formatCode>
                <c:ptCount val="7"/>
                <c:pt idx="0">
                  <c:v>0.175</c:v>
                </c:pt>
                <c:pt idx="1">
                  <c:v>0.522222222222222</c:v>
                </c:pt>
                <c:pt idx="2">
                  <c:v>0.659259259259259</c:v>
                </c:pt>
                <c:pt idx="3">
                  <c:v>0.872093023255814</c:v>
                </c:pt>
                <c:pt idx="4">
                  <c:v>0.888524590163935</c:v>
                </c:pt>
                <c:pt idx="5">
                  <c:v>0.792307692307692</c:v>
                </c:pt>
                <c:pt idx="6">
                  <c:v>0.728409090909091</c:v>
                </c:pt>
              </c:numCache>
            </c:numRef>
          </c:val>
          <c:smooth val="0"/>
        </c:ser>
        <c:ser>
          <c:idx val="7"/>
          <c:order val="7"/>
          <c:spPr>
            <a:solidFill>
              <a:srgbClr val="F09C70"/>
            </a:solidFill>
            <a:ln w="12600">
              <a:solidFill>
                <a:srgbClr val="F09C7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'06_Desempenho_Carga'!$A$6:$A$12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'06_Desempenho_Carga'!$I$6:$I$12</c:f>
              <c:numCache>
                <c:formatCode>0.00</c:formatCode>
                <c:ptCount val="7"/>
                <c:pt idx="0">
                  <c:v>340</c:v>
                </c:pt>
                <c:pt idx="1">
                  <c:v>82</c:v>
                </c:pt>
                <c:pt idx="2">
                  <c:v>52</c:v>
                </c:pt>
                <c:pt idx="3">
                  <c:v>27.6</c:v>
                </c:pt>
                <c:pt idx="4">
                  <c:v>17.4</c:v>
                </c:pt>
                <c:pt idx="5">
                  <c:v>13.8666666666667</c:v>
                </c:pt>
                <c:pt idx="6">
                  <c:v>11.9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187693"/>
        <c:axId val="99279013"/>
      </c:lineChart>
      <c:catAx>
        <c:axId val="311876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9279013"/>
        <c:crosses val="autoZero"/>
        <c:auto val="1"/>
        <c:lblAlgn val="ctr"/>
        <c:lblOffset val="100"/>
        <c:noMultiLvlLbl val="0"/>
      </c:catAx>
      <c:valAx>
        <c:axId val="9927901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11876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Tempo e sucesso por funcionalidade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"Tempo médio (s)"</c:f>
              <c:strCache>
                <c:ptCount val="1"/>
                <c:pt idx="0">
                  <c:v>Tempo médio (s)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'07_Desempenho_Funcoes'!$A$6:$A$10</c:f>
              <c:strCache>
                <c:ptCount val="5"/>
                <c:pt idx="0">
                  <c:v>Login</c:v>
                </c:pt>
                <c:pt idx="1">
                  <c:v>Consulta de palavras</c:v>
                </c:pt>
                <c:pt idx="2">
                  <c:v>Reprodução de áudio</c:v>
                </c:pt>
                <c:pt idx="3">
                  <c:v>Cadastro de termo</c:v>
                </c:pt>
                <c:pt idx="4">
                  <c:v>Envio de mensagem</c:v>
                </c:pt>
              </c:strCache>
            </c:strRef>
          </c:cat>
          <c:val>
            <c:numRef>
              <c:f>'07_Desempenho_Funcoes'!$B$6:$B$10</c:f>
              <c:numCache>
                <c:formatCode>0.00</c:formatCode>
                <c:ptCount val="5"/>
                <c:pt idx="0">
                  <c:v>0.61</c:v>
                </c:pt>
                <c:pt idx="1">
                  <c:v>0.84</c:v>
                </c:pt>
                <c:pt idx="2">
                  <c:v>1.12</c:v>
                </c:pt>
                <c:pt idx="3">
                  <c:v>1.38</c:v>
                </c:pt>
                <c:pt idx="4">
                  <c:v>0.93</c:v>
                </c:pt>
              </c:numCache>
            </c:numRef>
          </c:val>
        </c:ser>
        <c:ser>
          <c:idx val="1"/>
          <c:order val="1"/>
          <c:tx>
            <c:strRef>
              <c:f>"Sucesso (%)"</c:f>
              <c:strCache>
                <c:ptCount val="1"/>
                <c:pt idx="0">
                  <c:v>Sucesso (%)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'07_Desempenho_Funcoes'!$A$6:$A$10</c:f>
              <c:strCache>
                <c:ptCount val="5"/>
                <c:pt idx="0">
                  <c:v>Login</c:v>
                </c:pt>
                <c:pt idx="1">
                  <c:v>Consulta de palavras</c:v>
                </c:pt>
                <c:pt idx="2">
                  <c:v>Reprodução de áudio</c:v>
                </c:pt>
                <c:pt idx="3">
                  <c:v>Cadastro de termo</c:v>
                </c:pt>
                <c:pt idx="4">
                  <c:v>Envio de mensagem</c:v>
                </c:pt>
              </c:strCache>
            </c:strRef>
          </c:cat>
          <c:val>
            <c:numRef>
              <c:f>'07_Desempenho_Funcoes'!$C$6:$C$10</c:f>
              <c:numCache>
                <c:formatCode>0.00</c:formatCode>
                <c:ptCount val="5"/>
                <c:pt idx="0">
                  <c:v>99.6</c:v>
                </c:pt>
                <c:pt idx="1">
                  <c:v>99.2</c:v>
                </c:pt>
                <c:pt idx="2">
                  <c:v>98.7</c:v>
                </c:pt>
                <c:pt idx="3">
                  <c:v>98.1</c:v>
                </c:pt>
                <c:pt idx="4">
                  <c:v>99</c:v>
                </c:pt>
              </c:numCache>
            </c:numRef>
          </c:val>
        </c:ser>
        <c:gapWidth val="150"/>
        <c:overlap val="0"/>
        <c:axId val="45275267"/>
        <c:axId val="83389210"/>
      </c:barChart>
      <c:catAx>
        <c:axId val="452752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3389210"/>
        <c:crosses val="autoZero"/>
        <c:auto val="1"/>
        <c:lblAlgn val="ctr"/>
        <c:lblOffset val="100"/>
        <c:noMultiLvlLbl val="0"/>
      </c:catAx>
      <c:valAx>
        <c:axId val="8338921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52752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Pontuação de segurança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"Risco normalizado"</c:f>
              <c:strCache>
                <c:ptCount val="1"/>
                <c:pt idx="0">
                  <c:v>Risco normalizado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'08_Seguranca_OWASP'!$B$6:$B$12</c:f>
              <c:numCache>
                <c:formatCode>General</c:formatCode>
                <c:ptCount val="7"/>
              </c:numCache>
            </c:numRef>
          </c:val>
        </c:ser>
        <c:ser>
          <c:idx val="1"/>
          <c:order val="1"/>
          <c:tx>
            <c:strRef>
              <c:f>"GPT-2 small"</c:f>
              <c:strCache>
                <c:ptCount val="1"/>
                <c:pt idx="0">
                  <c:v>GPT-2 small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'08_Seguranca_OWASP'!$C$6:$C$12</c:f>
              <c:numCache>
                <c:formatCode>General</c:formatCode>
                <c:ptCount val="7"/>
                <c:pt idx="0">
                  <c:v>60</c:v>
                </c:pt>
                <c:pt idx="1">
                  <c:v>75</c:v>
                </c:pt>
                <c:pt idx="2">
                  <c:v>90</c:v>
                </c:pt>
                <c:pt idx="3">
                  <c:v>40</c:v>
                </c:pt>
                <c:pt idx="4">
                  <c:v>55</c:v>
                </c:pt>
                <c:pt idx="5">
                  <c:v>60</c:v>
                </c:pt>
                <c:pt idx="6">
                  <c:v>70</c:v>
                </c:pt>
              </c:numCache>
            </c:numRef>
          </c:val>
        </c:ser>
        <c:ser>
          <c:idx val="2"/>
          <c:order val="2"/>
          <c:tx>
            <c:strRef>
              <c:f>"BERT"</c:f>
              <c:strCache>
                <c:ptCount val="1"/>
                <c:pt idx="0">
                  <c:v>BERT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'08_Seguranca_OWASP'!$D$6:$D$12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60</c:v>
                </c:pt>
                <c:pt idx="3">
                  <c:v>20</c:v>
                </c:pt>
                <c:pt idx="4">
                  <c:v>25</c:v>
                </c:pt>
                <c:pt idx="5">
                  <c:v>35</c:v>
                </c:pt>
                <c:pt idx="6">
                  <c:v>55</c:v>
                </c:pt>
              </c:numCache>
            </c:numRef>
          </c:val>
        </c:ser>
        <c:ser>
          <c:idx val="3"/>
          <c:order val="3"/>
          <c:spPr>
            <a:solidFill>
              <a:srgbClr val="0F9E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'08_Seguranca_OWASP'!$A$6:$A$12</c:f>
              <c:strCache>
                <c:ptCount val="7"/>
                <c:pt idx="0">
                  <c:v>Cryptographic Failures</c:v>
                </c:pt>
                <c:pt idx="1">
                  <c:v>Injection</c:v>
                </c:pt>
                <c:pt idx="2">
                  <c:v>Insecure Design</c:v>
                </c:pt>
                <c:pt idx="3">
                  <c:v>Vulnerable and Outdated Components</c:v>
                </c:pt>
                <c:pt idx="4">
                  <c:v>Identification and Authentication Failures</c:v>
                </c:pt>
                <c:pt idx="5">
                  <c:v>Software and Data Integrity Failures</c:v>
                </c:pt>
                <c:pt idx="6">
                  <c:v>Server-Side Request Forgery (SSRF)</c:v>
                </c:pt>
              </c:strCache>
            </c:strRef>
          </c:cat>
          <c:val>
            <c:numRef>
              <c:f>'08_Seguranca_OWASP'!$E$6:$E$12</c:f>
              <c:numCache>
                <c:formatCode>General</c:formatCode>
                <c:ptCount val="7"/>
                <c:pt idx="0">
                  <c:v>65</c:v>
                </c:pt>
                <c:pt idx="1">
                  <c:v>72</c:v>
                </c:pt>
                <c:pt idx="2">
                  <c:v>95</c:v>
                </c:pt>
                <c:pt idx="3">
                  <c:v>56</c:v>
                </c:pt>
                <c:pt idx="4">
                  <c:v>65</c:v>
                </c:pt>
                <c:pt idx="5">
                  <c:v>72</c:v>
                </c:pt>
                <c:pt idx="6">
                  <c:v>71</c:v>
                </c:pt>
              </c:numCache>
            </c:numRef>
          </c:val>
        </c:ser>
        <c:gapWidth val="150"/>
        <c:overlap val="0"/>
        <c:axId val="78518947"/>
        <c:axId val="81074750"/>
      </c:barChart>
      <c:catAx>
        <c:axId val="785189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1074750"/>
        <c:crosses val="autoZero"/>
        <c:auto val="1"/>
        <c:lblAlgn val="ctr"/>
        <c:lblOffset val="100"/>
        <c:noMultiLvlLbl val="0"/>
      </c:catAx>
      <c:valAx>
        <c:axId val="81074750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85189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Situação dos requisitos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"Quantidade"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'10_Requisitos_Resumo'!$A$14:$A$17</c:f>
              <c:strCache>
                <c:ptCount val="4"/>
                <c:pt idx="0">
                  <c:v>Concluído/validado</c:v>
                </c:pt>
                <c:pt idx="1">
                  <c:v>Parcial</c:v>
                </c:pt>
                <c:pt idx="2">
                  <c:v>Planejado</c:v>
                </c:pt>
                <c:pt idx="3">
                  <c:v>Não comprovado</c:v>
                </c:pt>
              </c:strCache>
            </c:strRef>
          </c:cat>
          <c:val>
            <c:numRef>
              <c:f>'10_Requisitos_Resumo'!$B$14:$B$17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74919907"/>
        <c:axId val="75296264"/>
      </c:barChart>
      <c:catAx>
        <c:axId val="749199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5296264"/>
        <c:crosses val="autoZero"/>
        <c:auto val="1"/>
        <c:lblAlgn val="ctr"/>
        <c:lblOffset val="100"/>
        <c:noMultiLvlLbl val="0"/>
      </c:catAx>
      <c:valAx>
        <c:axId val="7529626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49199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Cobertura por processo MPS.BR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"Descrição"</c:f>
              <c:strCache>
                <c:ptCount val="1"/>
                <c:pt idx="0">
                  <c:v>Descrição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'10_Requisitos_Resumo'!$F$6:$F$13</c:f>
              <c:strCache>
                <c:ptCount val="8"/>
                <c:pt idx="0">
                  <c:v>GRE</c:v>
                </c:pt>
                <c:pt idx="1">
                  <c:v>DRE</c:v>
                </c:pt>
                <c:pt idx="2">
                  <c:v>PCP</c:v>
                </c:pt>
                <c:pt idx="3">
                  <c:v>VER</c:v>
                </c:pt>
                <c:pt idx="4">
                  <c:v>VAL</c:v>
                </c:pt>
                <c:pt idx="5">
                  <c:v>GQA</c:v>
                </c:pt>
                <c:pt idx="6">
                  <c:v>GCO</c:v>
                </c:pt>
                <c:pt idx="7">
                  <c:v>MAN</c:v>
                </c:pt>
              </c:strCache>
            </c:strRef>
          </c:cat>
          <c:val>
            <c:numRef>
              <c:f>'10_Requisitos_Resumo'!$G$6:$G$13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'10_Requisitos_Resumo'!$F$6:$F$13</c:f>
              <c:strCache>
                <c:ptCount val="8"/>
                <c:pt idx="0">
                  <c:v>GRE</c:v>
                </c:pt>
                <c:pt idx="1">
                  <c:v>DRE</c:v>
                </c:pt>
                <c:pt idx="2">
                  <c:v>PCP</c:v>
                </c:pt>
                <c:pt idx="3">
                  <c:v>VER</c:v>
                </c:pt>
                <c:pt idx="4">
                  <c:v>VAL</c:v>
                </c:pt>
                <c:pt idx="5">
                  <c:v>GQA</c:v>
                </c:pt>
                <c:pt idx="6">
                  <c:v>GCO</c:v>
                </c:pt>
                <c:pt idx="7">
                  <c:v>MAN</c:v>
                </c:pt>
              </c:strCache>
            </c:strRef>
          </c:cat>
          <c:val>
            <c:numRef>
              <c:f>'10_Requisitos_Resumo'!$H$6:$H$13</c:f>
              <c:numCache>
                <c:formatCode>General</c:formatCode>
                <c:ptCount val="8"/>
                <c:pt idx="0">
                  <c:v>13</c:v>
                </c:pt>
                <c:pt idx="1">
                  <c:v>22</c:v>
                </c:pt>
                <c:pt idx="2">
                  <c:v>21</c:v>
                </c:pt>
                <c:pt idx="3">
                  <c:v>19</c:v>
                </c:pt>
                <c:pt idx="4">
                  <c:v>15</c:v>
                </c:pt>
                <c:pt idx="5">
                  <c:v>7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84600950"/>
        <c:axId val="85923157"/>
      </c:barChart>
      <c:catAx>
        <c:axId val="846009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5923157"/>
        <c:crosses val="autoZero"/>
        <c:auto val="1"/>
        <c:lblAlgn val="ctr"/>
        <c:lblOffset val="100"/>
        <c:noMultiLvlLbl val="0"/>
      </c:catAx>
      <c:valAx>
        <c:axId val="8592315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46009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Benchmark SAW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"Equilibrado"</c:f>
              <c:strCache>
                <c:ptCount val="1"/>
                <c:pt idx="0">
                  <c:v>Equilibrado</c:v>
                </c:pt>
              </c:strCache>
            </c:strRef>
          </c:tx>
          <c:spPr>
            <a:solidFill>
              <a:srgbClr val="15608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'01_Dashboard'!$A$32:$A$35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'01_Dashboard'!$B$32:$B$35</c:f>
              <c:numCache>
                <c:formatCode>0.0</c:formatCode>
                <c:ptCount val="4"/>
                <c:pt idx="0">
                  <c:v>42.5</c:v>
                </c:pt>
                <c:pt idx="1">
                  <c:v>55</c:v>
                </c:pt>
                <c:pt idx="2">
                  <c:v>42.5</c:v>
                </c:pt>
                <c:pt idx="3">
                  <c:v>87.5</c:v>
                </c:pt>
              </c:numCache>
            </c:numRef>
          </c:val>
        </c:ser>
        <c:ser>
          <c:idx val="1"/>
          <c:order val="1"/>
          <c:tx>
            <c:strRef>
              <c:f>"Algorítmico"</c:f>
              <c:strCache>
                <c:ptCount val="1"/>
                <c:pt idx="0">
                  <c:v>Algorítmico</c:v>
                </c:pt>
              </c:strCache>
            </c:strRef>
          </c:tx>
          <c:spPr>
            <a:solidFill>
              <a:srgbClr val="E9713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'01_Dashboard'!$A$32:$A$35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'01_Dashboard'!$C$32:$C$35</c:f>
              <c:numCache>
                <c:formatCode>0.0</c:formatCode>
                <c:ptCount val="4"/>
                <c:pt idx="0">
                  <c:v>63</c:v>
                </c:pt>
                <c:pt idx="1">
                  <c:v>77</c:v>
                </c:pt>
                <c:pt idx="2">
                  <c:v>71</c:v>
                </c:pt>
                <c:pt idx="3">
                  <c:v>73.5</c:v>
                </c:pt>
              </c:numCache>
            </c:numRef>
          </c:val>
        </c:ser>
        <c:ser>
          <c:idx val="2"/>
          <c:order val="2"/>
          <c:tx>
            <c:strRef>
              <c:f>"Sociotécnico"</c:f>
              <c:strCache>
                <c:ptCount val="1"/>
                <c:pt idx="0">
                  <c:v>Sociotécnico</c:v>
                </c:pt>
              </c:strCache>
            </c:strRef>
          </c:tx>
          <c:spPr>
            <a:solidFill>
              <a:srgbClr val="196B2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'01_Dashboard'!$A$32:$A$35</c:f>
              <c:strCache>
                <c:ptCount val="4"/>
                <c:pt idx="0">
                  <c:v>Ayuuk–Espanhol NMT</c:v>
                </c:pt>
                <c:pt idx="1">
                  <c:v>AmericasNLP 2024</c:v>
                </c:pt>
                <c:pt idx="2">
                  <c:v>mBART cross-lingual</c:v>
                </c:pt>
                <c:pt idx="3">
                  <c:v>Plataforma Kayapó</c:v>
                </c:pt>
              </c:strCache>
            </c:strRef>
          </c:cat>
          <c:val>
            <c:numRef>
              <c:f>'01_Dashboard'!$D$32:$D$35</c:f>
              <c:numCache>
                <c:formatCode>0.0</c:formatCode>
                <c:ptCount val="4"/>
                <c:pt idx="0">
                  <c:v>37.5</c:v>
                </c:pt>
                <c:pt idx="1">
                  <c:v>48.5</c:v>
                </c:pt>
                <c:pt idx="2">
                  <c:v>33.5</c:v>
                </c:pt>
                <c:pt idx="3">
                  <c:v>91</c:v>
                </c:pt>
              </c:numCache>
            </c:numRef>
          </c:val>
        </c:ser>
        <c:gapWidth val="150"/>
        <c:overlap val="0"/>
        <c:axId val="21876038"/>
        <c:axId val="96838394"/>
      </c:barChart>
      <c:catAx>
        <c:axId val="218760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6838394"/>
        <c:crosses val="autoZero"/>
        <c:auto val="1"/>
        <c:lblAlgn val="ctr"/>
        <c:lblOffset val="100"/>
        <c:noMultiLvlLbl val="0"/>
      </c:catAx>
      <c:valAx>
        <c:axId val="9683839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18760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Escalonamento de carga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"Resposta (s)"</c:f>
              <c:strCache>
                <c:ptCount val="1"/>
                <c:pt idx="0">
                  <c:v>Resposta (s)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'01_Dashboard'!$G$32:$G$38</c:f>
              <c:numCache>
                <c:formatCode>0.00</c:formatCode>
                <c:ptCount val="7"/>
                <c:pt idx="0">
                  <c:v>0.42</c:v>
                </c:pt>
                <c:pt idx="1">
                  <c:v>0.51</c:v>
                </c:pt>
                <c:pt idx="2">
                  <c:v>0.68</c:v>
                </c:pt>
                <c:pt idx="3">
                  <c:v>0.95</c:v>
                </c:pt>
                <c:pt idx="4">
                  <c:v>1.48</c:v>
                </c:pt>
                <c:pt idx="5">
                  <c:v>2.21</c:v>
                </c:pt>
                <c:pt idx="6">
                  <c:v>3.15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"Erro (%)"</c:f>
              <c:strCache>
                <c:ptCount val="1"/>
                <c:pt idx="0">
                  <c:v>Erro (%)</c:v>
                </c:pt>
              </c:strCache>
            </c:strRef>
          </c:tx>
          <c:spPr>
            <a:solidFill>
              <a:srgbClr val="E97132"/>
            </a:solidFill>
            <a:ln w="1260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'01_Dashboard'!$H$32:$H$38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0.6</c:v>
                </c:pt>
                <c:pt idx="4">
                  <c:v>1.4</c:v>
                </c:pt>
                <c:pt idx="5">
                  <c:v>2.9</c:v>
                </c:pt>
                <c:pt idx="6">
                  <c:v>4.7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"Throughput"</c:f>
              <c:strCache>
                <c:ptCount val="1"/>
                <c:pt idx="0">
                  <c:v>Throughput</c:v>
                </c:pt>
              </c:strCache>
            </c:strRef>
          </c:tx>
          <c:spPr>
            <a:solidFill>
              <a:srgbClr val="196B24"/>
            </a:solidFill>
            <a:ln w="12600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'01_Dashboard'!$I$32:$I$38</c:f>
              <c:numCache>
                <c:formatCode>0.00</c:formatCode>
                <c:ptCount val="7"/>
                <c:pt idx="0">
                  <c:v>2.1</c:v>
                </c:pt>
                <c:pt idx="1">
                  <c:v>9.4</c:v>
                </c:pt>
                <c:pt idx="2">
                  <c:v>17.8</c:v>
                </c:pt>
                <c:pt idx="3">
                  <c:v>37.5</c:v>
                </c:pt>
                <c:pt idx="4">
                  <c:v>54.2</c:v>
                </c:pt>
                <c:pt idx="5">
                  <c:v>61.8</c:v>
                </c:pt>
                <c:pt idx="6">
                  <c:v>64.1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"CPU (%)"</c:f>
              <c:strCache>
                <c:ptCount val="1"/>
                <c:pt idx="0">
                  <c:v>CPU (%)</c:v>
                </c:pt>
              </c:strCache>
            </c:strRef>
          </c:tx>
          <c:spPr>
            <a:solidFill>
              <a:srgbClr val="0F9ED5"/>
            </a:solidFill>
            <a:ln w="12600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'01_Dashboard'!$J$32:$J$38</c:f>
              <c:numCache>
                <c:formatCode>0.0</c:formatCode>
                <c:ptCount val="7"/>
                <c:pt idx="0">
                  <c:v>12</c:v>
                </c:pt>
                <c:pt idx="1">
                  <c:v>18</c:v>
                </c:pt>
                <c:pt idx="2">
                  <c:v>27</c:v>
                </c:pt>
                <c:pt idx="3">
                  <c:v>43</c:v>
                </c:pt>
                <c:pt idx="4">
                  <c:v>61</c:v>
                </c:pt>
                <c:pt idx="5">
                  <c:v>78</c:v>
                </c:pt>
                <c:pt idx="6">
                  <c:v>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"Memória/15"</c:f>
              <c:strCache>
                <c:ptCount val="1"/>
                <c:pt idx="0">
                  <c:v>Memória/15</c:v>
                </c:pt>
              </c:strCache>
            </c:strRef>
          </c:tx>
          <c:spPr>
            <a:solidFill>
              <a:srgbClr val="A02B93"/>
            </a:solidFill>
            <a:ln w="12600">
              <a:solidFill>
                <a:srgbClr val="A02B9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'01_Dashboard'!$F$32:$F$38</c:f>
              <c:strCache>
                <c:ptCount val="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75</c:v>
                </c:pt>
                <c:pt idx="6">
                  <c:v>100</c:v>
                </c:pt>
              </c:strCache>
            </c:strRef>
          </c:cat>
          <c:val>
            <c:numRef>
              <c:f>'01_Dashboard'!$K$32:$K$38</c:f>
              <c:numCache>
                <c:formatCode>General</c:formatCode>
                <c:ptCount val="7"/>
                <c:pt idx="0">
                  <c:v>22.66666667</c:v>
                </c:pt>
                <c:pt idx="1">
                  <c:v>27.33333333</c:v>
                </c:pt>
                <c:pt idx="2">
                  <c:v>34.66666667</c:v>
                </c:pt>
                <c:pt idx="3">
                  <c:v>46</c:v>
                </c:pt>
                <c:pt idx="4">
                  <c:v>58</c:v>
                </c:pt>
                <c:pt idx="5">
                  <c:v>69.33333333</c:v>
                </c:pt>
                <c:pt idx="6">
                  <c:v>79.33333333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41039"/>
        <c:axId val="14915561"/>
      </c:lineChart>
      <c:catAx>
        <c:axId val="90410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4915561"/>
        <c:crosses val="autoZero"/>
        <c:auto val="1"/>
        <c:lblAlgn val="ctr"/>
        <c:lblOffset val="100"/>
        <c:noMultiLvlLbl val="0"/>
      </c:catAx>
      <c:valAx>
        <c:axId val="1491556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0410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32</xdr:row>
      <xdr:rowOff>0</xdr:rowOff>
    </xdr:from>
    <xdr:to>
      <xdr:col>16</xdr:col>
      <xdr:colOff>856800</xdr:colOff>
      <xdr:row>51</xdr:row>
      <xdr:rowOff>171000</xdr:rowOff>
    </xdr:to>
    <xdr:graphicFrame>
      <xdr:nvGraphicFramePr>
        <xdr:cNvPr id="1" name="Chart 1"/>
        <xdr:cNvGraphicFramePr/>
      </xdr:nvGraphicFramePr>
      <xdr:xfrm>
        <a:off x="7964640" y="5724360"/>
        <a:ext cx="1142964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7</xdr:col>
      <xdr:colOff>734400</xdr:colOff>
      <xdr:row>39</xdr:row>
      <xdr:rowOff>171360</xdr:rowOff>
    </xdr:to>
    <xdr:graphicFrame>
      <xdr:nvGraphicFramePr>
        <xdr:cNvPr id="2" name="Chart 2"/>
        <xdr:cNvGraphicFramePr/>
      </xdr:nvGraphicFramePr>
      <xdr:xfrm>
        <a:off x="0" y="3838680"/>
        <a:ext cx="9801000" cy="325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194760</xdr:colOff>
      <xdr:row>39</xdr:row>
      <xdr:rowOff>171360</xdr:rowOff>
    </xdr:to>
    <xdr:graphicFrame>
      <xdr:nvGraphicFramePr>
        <xdr:cNvPr id="3" name="Chart 3"/>
        <xdr:cNvGraphicFramePr/>
      </xdr:nvGraphicFramePr>
      <xdr:xfrm>
        <a:off x="9066600" y="3838680"/>
        <a:ext cx="10715400" cy="325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9</xdr:col>
      <xdr:colOff>799560</xdr:colOff>
      <xdr:row>39</xdr:row>
      <xdr:rowOff>171360</xdr:rowOff>
    </xdr:to>
    <xdr:graphicFrame>
      <xdr:nvGraphicFramePr>
        <xdr:cNvPr id="4" name="Chart 4"/>
        <xdr:cNvGraphicFramePr/>
      </xdr:nvGraphicFramePr>
      <xdr:xfrm>
        <a:off x="0" y="3838680"/>
        <a:ext cx="10667520" cy="325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18</xdr:col>
      <xdr:colOff>265680</xdr:colOff>
      <xdr:row>39</xdr:row>
      <xdr:rowOff>171360</xdr:rowOff>
    </xdr:to>
    <xdr:graphicFrame>
      <xdr:nvGraphicFramePr>
        <xdr:cNvPr id="5" name="Chart 5"/>
        <xdr:cNvGraphicFramePr/>
      </xdr:nvGraphicFramePr>
      <xdr:xfrm>
        <a:off x="9867960" y="3838680"/>
        <a:ext cx="11658240" cy="325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390600</xdr:colOff>
      <xdr:row>21</xdr:row>
      <xdr:rowOff>171000</xdr:rowOff>
    </xdr:to>
    <xdr:graphicFrame>
      <xdr:nvGraphicFramePr>
        <xdr:cNvPr id="6" name="Chart 6"/>
        <xdr:cNvGraphicFramePr/>
      </xdr:nvGraphicFramePr>
      <xdr:xfrm>
        <a:off x="10899000" y="923760"/>
        <a:ext cx="5257440" cy="308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17</xdr:col>
      <xdr:colOff>390960</xdr:colOff>
      <xdr:row>23</xdr:row>
      <xdr:rowOff>171000</xdr:rowOff>
    </xdr:to>
    <xdr:graphicFrame>
      <xdr:nvGraphicFramePr>
        <xdr:cNvPr id="7" name="Chart 7"/>
        <xdr:cNvGraphicFramePr/>
      </xdr:nvGraphicFramePr>
      <xdr:xfrm>
        <a:off x="12449880" y="923760"/>
        <a:ext cx="5257440" cy="34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6</xdr:col>
      <xdr:colOff>888840</xdr:colOff>
      <xdr:row>36</xdr:row>
      <xdr:rowOff>171000</xdr:rowOff>
    </xdr:to>
    <xdr:graphicFrame>
      <xdr:nvGraphicFramePr>
        <xdr:cNvPr id="8" name="Chart 8"/>
        <xdr:cNvGraphicFramePr/>
      </xdr:nvGraphicFramePr>
      <xdr:xfrm>
        <a:off x="0" y="3666960"/>
        <a:ext cx="1185840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13</xdr:col>
      <xdr:colOff>586800</xdr:colOff>
      <xdr:row>36</xdr:row>
      <xdr:rowOff>171000</xdr:rowOff>
    </xdr:to>
    <xdr:graphicFrame>
      <xdr:nvGraphicFramePr>
        <xdr:cNvPr id="9" name="Chart 9"/>
        <xdr:cNvGraphicFramePr/>
      </xdr:nvGraphicFramePr>
      <xdr:xfrm>
        <a:off x="10969560" y="3666960"/>
        <a:ext cx="785772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0</xdr:rowOff>
    </xdr:from>
    <xdr:to>
      <xdr:col>8</xdr:col>
      <xdr:colOff>548280</xdr:colOff>
      <xdr:row>58</xdr:row>
      <xdr:rowOff>171360</xdr:rowOff>
    </xdr:to>
    <xdr:graphicFrame>
      <xdr:nvGraphicFramePr>
        <xdr:cNvPr id="10" name="Chart 10"/>
        <xdr:cNvGraphicFramePr/>
      </xdr:nvGraphicFramePr>
      <xdr:xfrm>
        <a:off x="0" y="7534440"/>
        <a:ext cx="7314840" cy="325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40</xdr:row>
      <xdr:rowOff>0</xdr:rowOff>
    </xdr:from>
    <xdr:to>
      <xdr:col>16</xdr:col>
      <xdr:colOff>548280</xdr:colOff>
      <xdr:row>58</xdr:row>
      <xdr:rowOff>171360</xdr:rowOff>
    </xdr:to>
    <xdr:graphicFrame>
      <xdr:nvGraphicFramePr>
        <xdr:cNvPr id="11" name="Chart 11"/>
        <xdr:cNvGraphicFramePr/>
      </xdr:nvGraphicFramePr>
      <xdr:xfrm>
        <a:off x="6766560" y="7534440"/>
        <a:ext cx="7314840" cy="325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A11:B23" headerRowCount="1" totalsRowCount="0" totalsRowShown="0">
  <tableColumns count="2">
    <tableColumn id="1" name="Planilha"/>
    <tableColumn id="2" name="Finalidade"/>
  </tableColumns>
</table>
</file>

<file path=xl/tables/table2.xml><?xml version="1.0" encoding="utf-8"?>
<table xmlns="http://schemas.openxmlformats.org/spreadsheetml/2006/main" id="2" name="Table_10" displayName="Table_10" ref="A5:K32" headerRowCount="1" totalsRowCount="0" totalsRowShown="0">
  <tableColumns count="11">
    <tableColumn id="1" name="ID"/>
    <tableColumn id="2" name="Tipo"/>
    <tableColumn id="3" name="Requisito"/>
    <tableColumn id="4" name="Módulo"/>
    <tableColumn id="5" name="Processo relacionado"/>
    <tableColumn id="6" name="Evidência de verificação"/>
    <tableColumn id="7" name="Situação reportada"/>
    <tableColumn id="8" name="Status normalizado"/>
    <tableColumn id="9" name="Cobertura"/>
    <tableColumn id="10" name="Comprovação documental"/>
    <tableColumn id="11" name="Nota"/>
  </tableColumns>
</table>
</file>

<file path=xl/tables/table3.xml><?xml version="1.0" encoding="utf-8"?>
<table xmlns="http://schemas.openxmlformats.org/spreadsheetml/2006/main" id="3" name="Table_11" displayName="Table_11" ref="A15:I220" headerRowCount="1" totalsRowCount="0" totalsRowShown="0">
  <tableColumns count="9">
    <tableColumn id="1" name="Usuários simultâneos"/>
    <tableColumn id="2" name="Ciclo"/>
    <tableColumn id="3" name="Amostras"/>
    <tableColumn id="4" name="Tempo total resposta (ms)"/>
    <tableColumn id="5" name="Erros"/>
    <tableColumn id="6" name="Duração (s)"/>
    <tableColumn id="7" name="CPU média (%)"/>
    <tableColumn id="8" name="Memória média (MB)"/>
    <tableColumn id="9" name="Observações"/>
  </tableColumns>
</table>
</file>

<file path=xl/tables/table4.xml><?xml version="1.0" encoding="utf-8"?>
<table xmlns="http://schemas.openxmlformats.org/spreadsheetml/2006/main" id="4" name="Table_12" displayName="Table_12" ref="A5:E21" headerRowCount="1" totalsRowCount="0" totalsRowShown="0">
  <tableColumns count="5">
    <tableColumn id="1" name="Prioridade"/>
    <tableColumn id="2" name="Área"/>
    <tableColumn id="3" name="Constatação"/>
    <tableColumn id="4" name="Impacto"/>
    <tableColumn id="5" name="Correção recomendada"/>
  </tableColumns>
</table>
</file>

<file path=xl/tables/table5.xml><?xml version="1.0" encoding="utf-8"?>
<table xmlns="http://schemas.openxmlformats.org/spreadsheetml/2006/main" id="5" name="Table_2" displayName="Table_2" ref="G5:H10" headerRowCount="1" totalsRowCount="0" totalsRowShown="0">
  <tableColumns count="2">
    <tableColumn id="1" name="Pontuação"/>
    <tableColumn id="2" name="Classificação"/>
  </tableColumns>
</table>
</file>

<file path=xl/tables/table6.xml><?xml version="1.0" encoding="utf-8"?>
<table xmlns="http://schemas.openxmlformats.org/spreadsheetml/2006/main" id="6" name="Table_3" displayName="Table_3" ref="A8:E18" headerRowCount="1" totalsRowCount="0" totalsRowShown="0">
  <tableColumns count="5">
    <tableColumn id="1" name="Critério"/>
    <tableColumn id="2" name="Escala máxima"/>
    <tableColumn id="3" name="Peso equilibrado"/>
    <tableColumn id="4" name="Peso algorítmico"/>
    <tableColumn id="5" name="Peso sociotécnico"/>
  </tableColumns>
</table>
</file>

<file path=xl/tables/table7.xml><?xml version="1.0" encoding="utf-8"?>
<table xmlns="http://schemas.openxmlformats.org/spreadsheetml/2006/main" id="7" name="Table_4" displayName="Table_4" ref="A22:W26" headerRowCount="1" totalsRowCount="0" totalsRowShown="0">
  <tableColumns count="23">
    <tableColumn id="1" name="Alternativa"/>
    <tableColumn id="2" name="Automação da tradução"/>
    <tableColumn id="3" name="Adaptação a baixo recurso"/>
    <tableColumn id="4" name="Multimodalidade"/>
    <tableColumn id="5" name="Acessibilidade e usabilidade"/>
    <tableColumn id="6" name="Apoio educacional"/>
    <tableColumn id="7" name="Gestão do acervo linguístico"/>
    <tableColumn id="8" name="Orientação cultural e comunitária"/>
    <tableColumn id="9" name="Reprodutibilidade e benchmarking"/>
    <tableColumn id="10" name="Implantação operacional"/>
    <tableColumn id="11" name="Sustentabilidade e manutenção"/>
    <tableColumn id="12" name="SAW equilibrado"/>
    <tableColumn id="13" name="SAW algorítmico"/>
    <tableColumn id="14" name="SAW sociotécnico"/>
    <tableColumn id="15" name="Publicado eq."/>
    <tableColumn id="16" name="Dif. eq."/>
    <tableColumn id="17" name="Publicado alg."/>
    <tableColumn id="18" name="Dif. alg."/>
    <tableColumn id="19" name="Publicado socio."/>
    <tableColumn id="20" name="Dif. socio."/>
    <tableColumn id="21" name="Rank eq."/>
    <tableColumn id="22" name="Rank alg."/>
    <tableColumn id="23" name="Rank socio."/>
  </tableColumns>
</table>
</file>

<file path=xl/tables/table8.xml><?xml version="1.0" encoding="utf-8"?>
<table xmlns="http://schemas.openxmlformats.org/spreadsheetml/2006/main" id="8" name="Table_5" displayName="Table_5" ref="A5:F45" headerRowCount="1" totalsRowCount="0" totalsRowShown="0">
  <tableColumns count="6">
    <tableColumn id="1" name="Alternativa"/>
    <tableColumn id="2" name="Critério"/>
    <tableColumn id="3" name="Pontuação"/>
    <tableColumn id="4" name="Justificativa documental"/>
    <tableColumn id="5" name="Local da evidência"/>
    <tableColumn id="6" name="Natureza da avaliação"/>
  </tableColumns>
</table>
</file>

<file path=xl/tables/table9.xml><?xml version="1.0" encoding="utf-8"?>
<table xmlns="http://schemas.openxmlformats.org/spreadsheetml/2006/main" id="9" name="Table_6" displayName="Table_6" ref="A5:J27" headerRowCount="1" totalsRowCount="0" totalsRowShown="0">
  <tableColumns count="10">
    <tableColumn id="1" name="ID"/>
    <tableColumn id="2" name="Tela reportada"/>
    <tableColumn id="3" name="Tela normalizada"/>
    <tableColumn id="4" name="Aspecto avaliado"/>
    <tableColumn id="5" name="Heurística normalizada"/>
    <tableColumn id="6" name="Severidade"/>
    <tableColumn id="7" name="Classificação"/>
    <tableColumn id="8" name="Problema (0/1)"/>
    <tableColumn id="9" name="Justificativa"/>
    <tableColumn id="10" name="Nota de auditoria"/>
  </tableColumns>
</table>
</file>

<file path=xl/tables/table10.xml><?xml version="1.0" encoding="utf-8"?>
<table xmlns="http://schemas.openxmlformats.org/spreadsheetml/2006/main" id="10" name="Table_7" displayName="Table_7" ref="A5:Q12" headerRowCount="1" totalsRowCount="0" totalsRowShown="0">
  <tableColumns count="17">
    <tableColumn id="1" name="Usuários"/>
    <tableColumn id="2" name="Resposta média (s)"/>
    <tableColumn id="3" name="Erro (%)"/>
    <tableColumn id="4" name="Throughput (req/s)"/>
    <tableColumn id="5" name="CPU média (%)"/>
    <tableColumn id="6" name="Memória média (MB)"/>
    <tableColumn id="7" name="Sucesso (%)"/>
    <tableColumn id="8" name="Req/s por 1% CPU"/>
    <tableColumn id="9" name="Memória por usuário (MB)"/>
    <tableColumn id="10" name="Origem do valor"/>
    <tableColumn id="11" name="Resposta recalculada"/>
    <tableColumn id="12" name="Erro recalculado"/>
    <tableColumn id="13" name="Throughput recalculado"/>
    <tableColumn id="14" name="CPU recalculada"/>
    <tableColumn id="15" name="Memória recalculada"/>
    <tableColumn id="16" name="Dif. resposta"/>
    <tableColumn id="17" name="Dif. erro"/>
  </tableColumns>
</table>
</file>

<file path=xl/tables/table11.xml><?xml version="1.0" encoding="utf-8"?>
<table xmlns="http://schemas.openxmlformats.org/spreadsheetml/2006/main" id="11" name="Table_8" displayName="Table_8" ref="A5:F10" headerRowCount="1" totalsRowCount="0" totalsRowShown="0">
  <tableColumns count="6">
    <tableColumn id="1" name="Funcionalidade"/>
    <tableColumn id="2" name="Tempo médio (s)"/>
    <tableColumn id="3" name="Sucesso (%)"/>
    <tableColumn id="4" name="Falha (%)"/>
    <tableColumn id="5" name="Falhas esperadas por 1.000 tentativas"/>
    <tableColumn id="6" name="Observação"/>
  </tableColumns>
</table>
</file>

<file path=xl/tables/table12.xml><?xml version="1.0" encoding="utf-8"?>
<table xmlns="http://schemas.openxmlformats.org/spreadsheetml/2006/main" id="12" name="Table_9" displayName="Table_9" ref="A5:H12" headerRowCount="1" totalsRowCount="0" totalsRowShown="0">
  <tableColumns count="8">
    <tableColumn id="1" name="Vulnerabilidade"/>
    <tableColumn id="2" name="Risco normalizado"/>
    <tableColumn id="3" name="GPT-2 small"/>
    <tableColumn id="4" name="BERT"/>
    <tableColumn id="5" name="T5"/>
    <tableColumn id="6" name="Maior pontuação"/>
    <tableColumn id="7" name="Modelo líder"/>
    <tableColumn id="8" name="Amplitu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3" activeCellId="0" sqref="A2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8.63"/>
    <col collapsed="false" customWidth="true" hidden="false" outlineLevel="0" max="8" min="4" style="0" width="16"/>
    <col collapsed="false" customWidth="true" hidden="false" outlineLevel="0" max="26" min="9" style="0" width="8.63"/>
  </cols>
  <sheetData>
    <row r="1" customFormat="false" ht="18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21.7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3.5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3.5" hidden="false" customHeight="true" outlineLevel="0" collapsed="false">
      <c r="A5" s="4" t="s">
        <v>1</v>
      </c>
      <c r="B5" s="4"/>
      <c r="C5" s="4"/>
      <c r="D5" s="4"/>
      <c r="E5" s="4"/>
      <c r="F5" s="4"/>
      <c r="G5" s="4"/>
      <c r="H5" s="4"/>
    </row>
    <row r="6" customFormat="false" ht="13.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13.5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13.5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3.5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13.5" hidden="false" customHeight="tru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3.5" hidden="false" customHeight="true" outlineLevel="0" collapsed="false">
      <c r="A11" s="6" t="s">
        <v>3</v>
      </c>
      <c r="B11" s="6" t="s">
        <v>4</v>
      </c>
      <c r="C11" s="3"/>
      <c r="D11" s="4" t="s">
        <v>5</v>
      </c>
      <c r="E11" s="4"/>
      <c r="F11" s="4"/>
      <c r="G11" s="4"/>
      <c r="H11" s="4"/>
    </row>
    <row r="12" customFormat="false" ht="13.5" hidden="false" customHeight="true" outlineLevel="0" collapsed="false">
      <c r="A12" s="7" t="s">
        <v>6</v>
      </c>
      <c r="B12" s="7" t="s">
        <v>7</v>
      </c>
      <c r="C12" s="3"/>
      <c r="D12" s="8" t="s">
        <v>8</v>
      </c>
      <c r="E12" s="8"/>
      <c r="F12" s="8"/>
      <c r="G12" s="8"/>
      <c r="H12" s="8"/>
    </row>
    <row r="13" customFormat="false" ht="13.5" hidden="false" customHeight="true" outlineLevel="0" collapsed="false">
      <c r="A13" s="7" t="s">
        <v>9</v>
      </c>
      <c r="B13" s="7" t="s">
        <v>10</v>
      </c>
      <c r="C13" s="3"/>
      <c r="D13" s="8"/>
      <c r="E13" s="8"/>
      <c r="F13" s="8"/>
      <c r="G13" s="8"/>
      <c r="H13" s="8"/>
    </row>
    <row r="14" customFormat="false" ht="13.5" hidden="false" customHeight="true" outlineLevel="0" collapsed="false">
      <c r="A14" s="7" t="s">
        <v>11</v>
      </c>
      <c r="B14" s="7" t="s">
        <v>12</v>
      </c>
      <c r="C14" s="3"/>
      <c r="D14" s="8" t="s">
        <v>13</v>
      </c>
      <c r="E14" s="8"/>
      <c r="F14" s="8"/>
      <c r="G14" s="8"/>
      <c r="H14" s="8"/>
    </row>
    <row r="15" customFormat="false" ht="13.5" hidden="false" customHeight="true" outlineLevel="0" collapsed="false">
      <c r="A15" s="7" t="s">
        <v>14</v>
      </c>
      <c r="B15" s="7" t="s">
        <v>15</v>
      </c>
      <c r="C15" s="3"/>
      <c r="D15" s="8"/>
      <c r="E15" s="8"/>
      <c r="F15" s="8"/>
      <c r="G15" s="8"/>
      <c r="H15" s="8"/>
    </row>
    <row r="16" customFormat="false" ht="13.5" hidden="false" customHeight="true" outlineLevel="0" collapsed="false">
      <c r="A16" s="7" t="s">
        <v>16</v>
      </c>
      <c r="B16" s="7" t="s">
        <v>17</v>
      </c>
      <c r="C16" s="3"/>
      <c r="D16" s="8" t="s">
        <v>18</v>
      </c>
      <c r="E16" s="8"/>
      <c r="F16" s="8"/>
      <c r="G16" s="8"/>
      <c r="H16" s="8"/>
    </row>
    <row r="17" customFormat="false" ht="13.5" hidden="false" customHeight="true" outlineLevel="0" collapsed="false">
      <c r="A17" s="7" t="s">
        <v>19</v>
      </c>
      <c r="B17" s="7" t="s">
        <v>20</v>
      </c>
      <c r="C17" s="3"/>
      <c r="D17" s="8"/>
      <c r="E17" s="8"/>
      <c r="F17" s="8"/>
      <c r="G17" s="8"/>
      <c r="H17" s="8"/>
    </row>
    <row r="18" customFormat="false" ht="13.5" hidden="false" customHeight="true" outlineLevel="0" collapsed="false">
      <c r="A18" s="7" t="s">
        <v>21</v>
      </c>
      <c r="B18" s="7" t="s">
        <v>22</v>
      </c>
      <c r="C18" s="3"/>
      <c r="D18" s="8"/>
      <c r="E18" s="8"/>
      <c r="F18" s="8"/>
      <c r="G18" s="8"/>
      <c r="H18" s="8"/>
    </row>
    <row r="19" customFormat="false" ht="13.5" hidden="false" customHeight="true" outlineLevel="0" collapsed="false">
      <c r="A19" s="7" t="s">
        <v>23</v>
      </c>
      <c r="B19" s="7" t="s">
        <v>24</v>
      </c>
      <c r="C19" s="3"/>
      <c r="D19" s="8" t="s">
        <v>25</v>
      </c>
      <c r="E19" s="8"/>
      <c r="F19" s="8"/>
      <c r="G19" s="8"/>
      <c r="H19" s="8"/>
    </row>
    <row r="20" customFormat="false" ht="13.5" hidden="false" customHeight="true" outlineLevel="0" collapsed="false">
      <c r="A20" s="7" t="s">
        <v>26</v>
      </c>
      <c r="B20" s="7" t="s">
        <v>27</v>
      </c>
      <c r="C20" s="3"/>
      <c r="D20" s="8"/>
      <c r="E20" s="8"/>
      <c r="F20" s="8"/>
      <c r="G20" s="8"/>
      <c r="H20" s="8"/>
    </row>
    <row r="21" customFormat="false" ht="13.5" hidden="false" customHeight="true" outlineLevel="0" collapsed="false">
      <c r="A21" s="7" t="s">
        <v>28</v>
      </c>
      <c r="B21" s="7" t="s">
        <v>29</v>
      </c>
      <c r="C21" s="3"/>
      <c r="D21" s="8"/>
      <c r="E21" s="8"/>
      <c r="F21" s="8"/>
      <c r="G21" s="8"/>
      <c r="H21" s="8"/>
    </row>
    <row r="22" customFormat="false" ht="13.5" hidden="false" customHeight="true" outlineLevel="0" collapsed="false">
      <c r="A22" s="7" t="s">
        <v>30</v>
      </c>
      <c r="B22" s="7" t="s">
        <v>31</v>
      </c>
      <c r="C22" s="3"/>
      <c r="D22" s="3"/>
      <c r="E22" s="3"/>
      <c r="F22" s="3"/>
      <c r="G22" s="3"/>
      <c r="H22" s="3"/>
    </row>
    <row r="23" customFormat="false" ht="13.5" hidden="false" customHeight="true" outlineLevel="0" collapsed="false">
      <c r="A23" s="7" t="s">
        <v>32</v>
      </c>
      <c r="B23" s="7" t="s">
        <v>33</v>
      </c>
      <c r="C23" s="3"/>
      <c r="D23" s="3"/>
      <c r="E23" s="3"/>
      <c r="F23" s="3"/>
      <c r="G23" s="3"/>
      <c r="H23" s="3"/>
    </row>
    <row r="24" customFormat="false" ht="13.5" hidden="false" customHeight="tru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3.5" hidden="false" customHeight="tru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9">
    <mergeCell ref="A1:H2"/>
    <mergeCell ref="A3:H3"/>
    <mergeCell ref="A5:H5"/>
    <mergeCell ref="A6:H9"/>
    <mergeCell ref="D11:H11"/>
    <mergeCell ref="D12:H13"/>
    <mergeCell ref="D14:H15"/>
    <mergeCell ref="D16:H18"/>
    <mergeCell ref="D19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11" min="2" style="0" width="17"/>
    <col collapsed="false" customWidth="true" hidden="false" outlineLevel="0" max="23" min="12" style="0" width="13"/>
    <col collapsed="false" customWidth="true" hidden="false" outlineLevel="0" max="26" min="24" style="0" width="8.63"/>
  </cols>
  <sheetData>
    <row r="1" customFormat="false" ht="18.75" hidden="false" customHeight="true" outlineLevel="0" collapsed="false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customFormat="false" ht="21.75" hidden="false" customHeight="true" outlineLevel="0" collapsed="false">
      <c r="A3" s="10" t="s">
        <v>35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36</v>
      </c>
      <c r="B5" s="11" t="s">
        <v>37</v>
      </c>
      <c r="C5" s="11" t="s">
        <v>38</v>
      </c>
      <c r="D5" s="11" t="s">
        <v>39</v>
      </c>
      <c r="E5" s="11" t="s">
        <v>40</v>
      </c>
      <c r="G5" s="11" t="s">
        <v>41</v>
      </c>
      <c r="H5" s="11" t="s">
        <v>42</v>
      </c>
    </row>
    <row r="6" customFormat="false" ht="13.5" hidden="false" customHeight="true" outlineLevel="0" collapsed="false">
      <c r="A6" s="12" t="s">
        <v>43</v>
      </c>
      <c r="B6" s="12" t="n">
        <v>4</v>
      </c>
      <c r="C6" s="12" t="s">
        <v>44</v>
      </c>
      <c r="D6" s="12" t="s">
        <v>45</v>
      </c>
      <c r="E6" s="12" t="s">
        <v>46</v>
      </c>
      <c r="G6" s="12" t="n">
        <v>0</v>
      </c>
      <c r="H6" s="12" t="s">
        <v>47</v>
      </c>
    </row>
    <row r="7" customFormat="false" ht="13.5" hidden="false" customHeight="true" outlineLevel="0" collapsed="false">
      <c r="G7" s="12" t="n">
        <v>1</v>
      </c>
      <c r="H7" s="12" t="s">
        <v>48</v>
      </c>
    </row>
    <row r="8" customFormat="false" ht="13.5" hidden="false" customHeight="true" outlineLevel="0" collapsed="false">
      <c r="A8" s="11" t="s">
        <v>49</v>
      </c>
      <c r="B8" s="11" t="s">
        <v>50</v>
      </c>
      <c r="C8" s="11" t="s">
        <v>51</v>
      </c>
      <c r="D8" s="11" t="s">
        <v>52</v>
      </c>
      <c r="E8" s="11" t="s">
        <v>53</v>
      </c>
      <c r="F8" s="13"/>
      <c r="G8" s="12" t="n">
        <v>2</v>
      </c>
      <c r="H8" s="12" t="s">
        <v>54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customFormat="false" ht="13.5" hidden="false" customHeight="true" outlineLevel="0" collapsed="false">
      <c r="A9" s="12" t="s">
        <v>55</v>
      </c>
      <c r="B9" s="12" t="n">
        <v>4</v>
      </c>
      <c r="C9" s="14" t="n">
        <v>0.1</v>
      </c>
      <c r="D9" s="14" t="n">
        <v>0.25</v>
      </c>
      <c r="E9" s="14" t="n">
        <v>0.08</v>
      </c>
      <c r="F9" s="13"/>
      <c r="G9" s="12" t="n">
        <v>3</v>
      </c>
      <c r="H9" s="12" t="s">
        <v>56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customFormat="false" ht="13.5" hidden="false" customHeight="true" outlineLevel="0" collapsed="false">
      <c r="A10" s="12" t="s">
        <v>57</v>
      </c>
      <c r="B10" s="12" t="n">
        <v>4</v>
      </c>
      <c r="C10" s="14" t="n">
        <v>0.1</v>
      </c>
      <c r="D10" s="14" t="n">
        <v>0.2</v>
      </c>
      <c r="E10" s="14" t="n">
        <v>0.08</v>
      </c>
      <c r="F10" s="13"/>
      <c r="G10" s="12" t="n">
        <v>4</v>
      </c>
      <c r="H10" s="12" t="s">
        <v>58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customFormat="false" ht="13.5" hidden="false" customHeight="true" outlineLevel="0" collapsed="false">
      <c r="A11" s="12" t="s">
        <v>59</v>
      </c>
      <c r="B11" s="12" t="n">
        <v>4</v>
      </c>
      <c r="C11" s="14" t="n">
        <v>0.1</v>
      </c>
      <c r="D11" s="14" t="n">
        <v>0.04</v>
      </c>
      <c r="E11" s="14" t="n">
        <v>0.14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customFormat="false" ht="13.5" hidden="false" customHeight="true" outlineLevel="0" collapsed="false">
      <c r="A12" s="12" t="s">
        <v>60</v>
      </c>
      <c r="B12" s="12" t="n">
        <v>4</v>
      </c>
      <c r="C12" s="14" t="n">
        <v>0.1</v>
      </c>
      <c r="D12" s="14" t="n">
        <v>0.04</v>
      </c>
      <c r="E12" s="14" t="n">
        <v>0.14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customFormat="false" ht="13.5" hidden="false" customHeight="true" outlineLevel="0" collapsed="false">
      <c r="A13" s="12" t="s">
        <v>61</v>
      </c>
      <c r="B13" s="12" t="n">
        <v>4</v>
      </c>
      <c r="C13" s="14" t="n">
        <v>0.1</v>
      </c>
      <c r="D13" s="14" t="n">
        <v>0.04</v>
      </c>
      <c r="E13" s="14" t="n">
        <v>0.12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customFormat="false" ht="13.5" hidden="false" customHeight="true" outlineLevel="0" collapsed="false">
      <c r="A14" s="12" t="s">
        <v>62</v>
      </c>
      <c r="B14" s="12" t="n">
        <v>4</v>
      </c>
      <c r="C14" s="14" t="n">
        <v>0.1</v>
      </c>
      <c r="D14" s="14" t="n">
        <v>0.07</v>
      </c>
      <c r="E14" s="14" t="n">
        <v>0.1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customFormat="false" ht="13.5" hidden="false" customHeight="true" outlineLevel="0" collapsed="false">
      <c r="A15" s="12" t="s">
        <v>63</v>
      </c>
      <c r="B15" s="12" t="n">
        <v>4</v>
      </c>
      <c r="C15" s="14" t="n">
        <v>0.1</v>
      </c>
      <c r="D15" s="14" t="n">
        <v>0.05</v>
      </c>
      <c r="E15" s="14" t="n">
        <v>0.12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customFormat="false" ht="13.5" hidden="false" customHeight="true" outlineLevel="0" collapsed="false">
      <c r="A16" s="12" t="s">
        <v>64</v>
      </c>
      <c r="B16" s="12" t="n">
        <v>4</v>
      </c>
      <c r="C16" s="14" t="n">
        <v>0.1</v>
      </c>
      <c r="D16" s="14" t="n">
        <v>0.18</v>
      </c>
      <c r="E16" s="14" t="n">
        <v>0.06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customFormat="false" ht="13.5" hidden="false" customHeight="true" outlineLevel="0" collapsed="false">
      <c r="A17" s="12" t="s">
        <v>65</v>
      </c>
      <c r="B17" s="12" t="n">
        <v>4</v>
      </c>
      <c r="C17" s="14" t="n">
        <v>0.1</v>
      </c>
      <c r="D17" s="14" t="n">
        <v>0.06</v>
      </c>
      <c r="E17" s="14" t="n">
        <v>0.08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customFormat="false" ht="13.5" hidden="false" customHeight="true" outlineLevel="0" collapsed="false">
      <c r="A18" s="12" t="s">
        <v>66</v>
      </c>
      <c r="B18" s="12" t="n">
        <v>4</v>
      </c>
      <c r="C18" s="14" t="n">
        <v>0.1</v>
      </c>
      <c r="D18" s="14" t="n">
        <v>0.07</v>
      </c>
      <c r="E18" s="14" t="n">
        <v>0.08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customFormat="false" ht="13.5" hidden="false" customHeight="true" outlineLevel="0" collapsed="false">
      <c r="A19" s="12" t="s">
        <v>67</v>
      </c>
      <c r="B19" s="12"/>
      <c r="C19" s="14" t="n">
        <f aca="false">SUM(C9:C18)</f>
        <v>1</v>
      </c>
      <c r="D19" s="14" t="n">
        <f aca="false">SUM(D9:D18)</f>
        <v>1</v>
      </c>
      <c r="E19" s="14" t="n">
        <f aca="false">SUM(E9:E18)</f>
        <v>1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customFormat="false" ht="13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customFormat="false" ht="13.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customFormat="false" ht="13.5" hidden="false" customHeight="true" outlineLevel="0" collapsed="false">
      <c r="A22" s="11" t="s">
        <v>68</v>
      </c>
      <c r="B22" s="11" t="s">
        <v>55</v>
      </c>
      <c r="C22" s="11" t="s">
        <v>57</v>
      </c>
      <c r="D22" s="11" t="s">
        <v>59</v>
      </c>
      <c r="E22" s="11" t="s">
        <v>60</v>
      </c>
      <c r="F22" s="11" t="s">
        <v>61</v>
      </c>
      <c r="G22" s="11" t="s">
        <v>62</v>
      </c>
      <c r="H22" s="11" t="s">
        <v>63</v>
      </c>
      <c r="I22" s="11" t="s">
        <v>64</v>
      </c>
      <c r="J22" s="11" t="s">
        <v>65</v>
      </c>
      <c r="K22" s="11" t="s">
        <v>66</v>
      </c>
      <c r="L22" s="11" t="s">
        <v>69</v>
      </c>
      <c r="M22" s="11" t="s">
        <v>70</v>
      </c>
      <c r="N22" s="11" t="s">
        <v>71</v>
      </c>
      <c r="O22" s="11" t="s">
        <v>72</v>
      </c>
      <c r="P22" s="11" t="s">
        <v>73</v>
      </c>
      <c r="Q22" s="11" t="s">
        <v>74</v>
      </c>
      <c r="R22" s="11" t="s">
        <v>75</v>
      </c>
      <c r="S22" s="11" t="s">
        <v>76</v>
      </c>
      <c r="T22" s="11" t="s">
        <v>77</v>
      </c>
      <c r="U22" s="11" t="s">
        <v>78</v>
      </c>
      <c r="V22" s="11" t="s">
        <v>79</v>
      </c>
      <c r="W22" s="11" t="s">
        <v>80</v>
      </c>
    </row>
    <row r="23" customFormat="false" ht="13.5" hidden="false" customHeight="true" outlineLevel="0" collapsed="false">
      <c r="A23" s="12" t="s">
        <v>81</v>
      </c>
      <c r="B23" s="12" t="n">
        <v>4</v>
      </c>
      <c r="C23" s="12" t="n">
        <v>3</v>
      </c>
      <c r="D23" s="12" t="n">
        <v>0</v>
      </c>
      <c r="E23" s="12" t="n">
        <v>1</v>
      </c>
      <c r="F23" s="12" t="n">
        <v>1</v>
      </c>
      <c r="G23" s="12" t="n">
        <v>1</v>
      </c>
      <c r="H23" s="12" t="n">
        <v>2</v>
      </c>
      <c r="I23" s="12" t="n">
        <v>3</v>
      </c>
      <c r="J23" s="12" t="n">
        <v>1</v>
      </c>
      <c r="K23" s="12" t="n">
        <v>1</v>
      </c>
      <c r="L23" s="15" t="n">
        <f aca="false">100*(B23*$C$9+C23*$C$10+D23*$C$11+E23*$C$12+F23*$C$13+G23*$C$14+H23*$C$15+I23*$C$16+J23*$C$17+K23*$C$18)/$B$6</f>
        <v>42.5</v>
      </c>
      <c r="M23" s="15" t="n">
        <f aca="false">100*(B23*$D$9+C23*$D$10+D23*$D$11+E23*$D$12+F23*$D$13+G23*$D$14+H23*$D$15+I23*$D$16+J23*$D$17+K23*$D$18)/$B$6</f>
        <v>63</v>
      </c>
      <c r="N23" s="15" t="n">
        <f aca="false">100*(B23*$E$9+C23*$E$10+D23*$E$11+E23*$E$12+F23*$E$13+G23*$E$14+H23*$E$15+I23*$E$16+J23*$E$17+K23*$E$18)/$B$6</f>
        <v>37.5</v>
      </c>
      <c r="O23" s="15" t="n">
        <v>42.5</v>
      </c>
      <c r="P23" s="15" t="n">
        <f aca="false">L23-O23</f>
        <v>0</v>
      </c>
      <c r="Q23" s="15" t="n">
        <v>63</v>
      </c>
      <c r="R23" s="15" t="n">
        <f aca="false">M23-Q23</f>
        <v>0</v>
      </c>
      <c r="S23" s="15" t="n">
        <v>37.5</v>
      </c>
      <c r="T23" s="15" t="n">
        <f aca="false">N23-S23</f>
        <v>0</v>
      </c>
      <c r="U23" s="12" t="n">
        <f aca="false">1+COUNTIF($L$23:$L$26,"&gt;"&amp;L23)</f>
        <v>3</v>
      </c>
      <c r="V23" s="12" t="n">
        <f aca="false">1+COUNTIF($M$23:$M$26,"&gt;"&amp;M23)</f>
        <v>4</v>
      </c>
      <c r="W23" s="12" t="n">
        <f aca="false">1+COUNTIF($N$23:$N$26,"&gt;"&amp;N23)</f>
        <v>3</v>
      </c>
    </row>
    <row r="24" customFormat="false" ht="13.5" hidden="false" customHeight="true" outlineLevel="0" collapsed="false">
      <c r="A24" s="12" t="s">
        <v>82</v>
      </c>
      <c r="B24" s="12" t="n">
        <v>4</v>
      </c>
      <c r="C24" s="12" t="n">
        <v>4</v>
      </c>
      <c r="D24" s="12" t="n">
        <v>0</v>
      </c>
      <c r="E24" s="12" t="n">
        <v>1</v>
      </c>
      <c r="F24" s="12" t="n">
        <v>2</v>
      </c>
      <c r="G24" s="12" t="n">
        <v>2</v>
      </c>
      <c r="H24" s="12" t="n">
        <v>2</v>
      </c>
      <c r="I24" s="12" t="n">
        <v>4</v>
      </c>
      <c r="J24" s="12" t="n">
        <v>1</v>
      </c>
      <c r="K24" s="12" t="n">
        <v>2</v>
      </c>
      <c r="L24" s="15" t="n">
        <f aca="false">100*(B24*$C$9+C24*$C$10+D24*$C$11+E24*$C$12+F24*$C$13+G24*$C$14+H24*$C$15+I24*$C$16+J24*$C$17+K24*$C$18)/$B$6</f>
        <v>55</v>
      </c>
      <c r="M24" s="15" t="n">
        <f aca="false">100*(B24*$D$9+C24*$D$10+D24*$D$11+E24*$D$12+F24*$D$13+G24*$D$14+H24*$D$15+I24*$D$16+J24*$D$17+K24*$D$18)/$B$6</f>
        <v>77</v>
      </c>
      <c r="N24" s="15" t="n">
        <f aca="false">100*(B24*$E$9+C24*$E$10+D24*$E$11+E24*$E$12+F24*$E$13+G24*$E$14+H24*$E$15+I24*$E$16+J24*$E$17+K24*$E$18)/$B$6</f>
        <v>48.5</v>
      </c>
      <c r="O24" s="15" t="n">
        <v>55</v>
      </c>
      <c r="P24" s="15" t="n">
        <f aca="false">L24-O24</f>
        <v>0</v>
      </c>
      <c r="Q24" s="15" t="n">
        <v>77</v>
      </c>
      <c r="R24" s="15" t="n">
        <f aca="false">M24-Q24</f>
        <v>0</v>
      </c>
      <c r="S24" s="15" t="n">
        <v>48.5</v>
      </c>
      <c r="T24" s="15" t="n">
        <f aca="false">N24-S24</f>
        <v>0</v>
      </c>
      <c r="U24" s="12" t="n">
        <f aca="false">1+COUNTIF($L$23:$L$26,"&gt;"&amp;L24)</f>
        <v>2</v>
      </c>
      <c r="V24" s="12" t="n">
        <f aca="false">1+COUNTIF($M$23:$M$26,"&gt;"&amp;M24)</f>
        <v>1</v>
      </c>
      <c r="W24" s="12" t="n">
        <f aca="false">1+COUNTIF($N$23:$N$26,"&gt;"&amp;N24)</f>
        <v>2</v>
      </c>
    </row>
    <row r="25" customFormat="false" ht="13.5" hidden="false" customHeight="true" outlineLevel="0" collapsed="false">
      <c r="A25" s="12" t="s">
        <v>83</v>
      </c>
      <c r="B25" s="12" t="n">
        <v>4</v>
      </c>
      <c r="C25" s="12" t="n">
        <v>4</v>
      </c>
      <c r="D25" s="12" t="n">
        <v>0</v>
      </c>
      <c r="E25" s="12" t="n">
        <v>0</v>
      </c>
      <c r="F25" s="12" t="n">
        <v>0</v>
      </c>
      <c r="G25" s="12" t="n">
        <v>1</v>
      </c>
      <c r="H25" s="12" t="n">
        <v>1</v>
      </c>
      <c r="I25" s="12" t="n">
        <v>4</v>
      </c>
      <c r="J25" s="12" t="n">
        <v>1</v>
      </c>
      <c r="K25" s="12" t="n">
        <v>2</v>
      </c>
      <c r="L25" s="15" t="n">
        <f aca="false">100*(B25*$C$9+C25*$C$10+D25*$C$11+E25*$C$12+F25*$C$13+G25*$C$14+H25*$C$15+I25*$C$16+J25*$C$17+K25*$C$18)/$B$6</f>
        <v>42.5</v>
      </c>
      <c r="M25" s="15" t="n">
        <f aca="false">100*(B25*$D$9+C25*$D$10+D25*$D$11+E25*$D$12+F25*$D$13+G25*$D$14+H25*$D$15+I25*$D$16+J25*$D$17+K25*$D$18)/$B$6</f>
        <v>71</v>
      </c>
      <c r="N25" s="15" t="n">
        <f aca="false">100*(B25*$E$9+C25*$E$10+D25*$E$11+E25*$E$12+F25*$E$13+G25*$E$14+H25*$E$15+I25*$E$16+J25*$E$17+K25*$E$18)/$B$6</f>
        <v>33.5</v>
      </c>
      <c r="O25" s="15" t="n">
        <v>42.5</v>
      </c>
      <c r="P25" s="15" t="n">
        <f aca="false">L25-O25</f>
        <v>0</v>
      </c>
      <c r="Q25" s="15" t="n">
        <v>71</v>
      </c>
      <c r="R25" s="15" t="n">
        <f aca="false">M25-Q25</f>
        <v>0</v>
      </c>
      <c r="S25" s="15" t="n">
        <v>33.5</v>
      </c>
      <c r="T25" s="15" t="n">
        <f aca="false">N25-S25</f>
        <v>0</v>
      </c>
      <c r="U25" s="12" t="n">
        <f aca="false">1+COUNTIF($L$23:$L$26,"&gt;"&amp;L25)</f>
        <v>3</v>
      </c>
      <c r="V25" s="12" t="n">
        <f aca="false">1+COUNTIF($M$23:$M$26,"&gt;"&amp;M25)</f>
        <v>3</v>
      </c>
      <c r="W25" s="12" t="n">
        <f aca="false">1+COUNTIF($N$23:$N$26,"&gt;"&amp;N25)</f>
        <v>4</v>
      </c>
    </row>
    <row r="26" customFormat="false" ht="13.5" hidden="false" customHeight="true" outlineLevel="0" collapsed="false">
      <c r="A26" s="12" t="s">
        <v>84</v>
      </c>
      <c r="B26" s="12" t="n">
        <v>2</v>
      </c>
      <c r="C26" s="12" t="n">
        <v>3</v>
      </c>
      <c r="D26" s="12" t="n">
        <v>4</v>
      </c>
      <c r="E26" s="12" t="n">
        <v>4</v>
      </c>
      <c r="F26" s="12" t="n">
        <v>4</v>
      </c>
      <c r="G26" s="12" t="n">
        <v>4</v>
      </c>
      <c r="H26" s="12" t="n">
        <v>4</v>
      </c>
      <c r="I26" s="12" t="n">
        <v>2</v>
      </c>
      <c r="J26" s="12" t="n">
        <v>4</v>
      </c>
      <c r="K26" s="12" t="n">
        <v>4</v>
      </c>
      <c r="L26" s="15" t="n">
        <f aca="false">100*(B26*$C$9+C26*$C$10+D26*$C$11+E26*$C$12+F26*$C$13+G26*$C$14+H26*$C$15+I26*$C$16+J26*$C$17+K26*$C$18)/$B$6</f>
        <v>87.5</v>
      </c>
      <c r="M26" s="15" t="n">
        <f aca="false">100*(B26*$D$9+C26*$D$10+D26*$D$11+E26*$D$12+F26*$D$13+G26*$D$14+H26*$D$15+I26*$D$16+J26*$D$17+K26*$D$18)/$B$6</f>
        <v>73.5</v>
      </c>
      <c r="N26" s="15" t="n">
        <f aca="false">100*(B26*$E$9+C26*$E$10+D26*$E$11+E26*$E$12+F26*$E$13+G26*$E$14+H26*$E$15+I26*$E$16+J26*$E$17+K26*$E$18)/$B$6</f>
        <v>91</v>
      </c>
      <c r="O26" s="15" t="n">
        <v>87.5</v>
      </c>
      <c r="P26" s="15" t="n">
        <f aca="false">L26-O26</f>
        <v>0</v>
      </c>
      <c r="Q26" s="15" t="n">
        <v>73.5</v>
      </c>
      <c r="R26" s="15" t="n">
        <f aca="false">M26-Q26</f>
        <v>0</v>
      </c>
      <c r="S26" s="15" t="n">
        <v>91</v>
      </c>
      <c r="T26" s="15" t="n">
        <f aca="false">N26-S26</f>
        <v>0</v>
      </c>
      <c r="U26" s="12" t="n">
        <f aca="false">1+COUNTIF($L$23:$L$26,"&gt;"&amp;L26)</f>
        <v>1</v>
      </c>
      <c r="V26" s="12" t="n">
        <f aca="false">1+COUNTIF($M$23:$M$26,"&gt;"&amp;M26)</f>
        <v>2</v>
      </c>
      <c r="W26" s="12" t="n">
        <f aca="false">1+COUNTIF($N$23:$N$26,"&gt;"&amp;N26)</f>
        <v>1</v>
      </c>
    </row>
    <row r="27" customFormat="false" ht="13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customFormat="false" ht="13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customFormat="false" ht="13.5" hidden="false" customHeight="true" outlineLevel="0" collapsed="false">
      <c r="A29" s="16" t="s">
        <v>85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customFormat="false" ht="13.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customFormat="false" ht="13.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T2"/>
    <mergeCell ref="A3:T3"/>
    <mergeCell ref="A29:K31"/>
  </mergeCells>
  <conditionalFormatting sqref="C19:E19">
    <cfRule type="cellIs" priority="2" operator="notEqual" aboveAverage="0" equalAverage="0" bottom="0" percent="0" rank="0" text="" dxfId="9">
      <formula>1</formula>
    </cfRule>
  </conditionalFormatting>
  <conditionalFormatting sqref="B23:K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3:P26">
    <cfRule type="cellIs" priority="4" operator="notEqual" aboveAverage="0" equalAverage="0" bottom="0" percent="0" rank="0" text="" dxfId="10">
      <formula>0</formula>
    </cfRule>
  </conditionalFormatting>
  <conditionalFormatting sqref="R23:R26">
    <cfRule type="cellIs" priority="5" operator="notEqual" aboveAverage="0" equalAverage="0" bottom="0" percent="0" rank="0" text="" dxfId="10">
      <formula>0</formula>
    </cfRule>
  </conditionalFormatting>
  <conditionalFormatting sqref="T23:T26">
    <cfRule type="cellIs" priority="6" operator="notEqual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7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26" min="7" style="0" width="8.63"/>
  </cols>
  <sheetData>
    <row r="1" customFormat="false" ht="18.75" hidden="false" customHeight="true" outlineLevel="0" collapsed="false">
      <c r="A1" s="9" t="s">
        <v>86</v>
      </c>
      <c r="B1" s="9"/>
      <c r="C1" s="9"/>
      <c r="D1" s="9"/>
      <c r="E1" s="9"/>
      <c r="F1" s="9"/>
      <c r="G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</row>
    <row r="3" customFormat="false" ht="21.75" hidden="false" customHeight="true" outlineLevel="0" collapsed="false">
      <c r="A3" s="10" t="s">
        <v>87</v>
      </c>
      <c r="B3" s="10"/>
      <c r="C3" s="10"/>
      <c r="D3" s="10"/>
      <c r="E3" s="10"/>
      <c r="F3" s="10"/>
      <c r="G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68</v>
      </c>
      <c r="B5" s="11" t="s">
        <v>49</v>
      </c>
      <c r="C5" s="11" t="s">
        <v>41</v>
      </c>
      <c r="D5" s="11" t="s">
        <v>88</v>
      </c>
      <c r="E5" s="11" t="s">
        <v>89</v>
      </c>
      <c r="F5" s="11" t="s">
        <v>90</v>
      </c>
    </row>
    <row r="6" customFormat="false" ht="13.5" hidden="false" customHeight="true" outlineLevel="0" collapsed="false">
      <c r="A6" s="12" t="s">
        <v>81</v>
      </c>
      <c r="B6" s="12" t="s">
        <v>55</v>
      </c>
      <c r="C6" s="12" t="n">
        <v>4</v>
      </c>
      <c r="D6" s="12" t="s">
        <v>91</v>
      </c>
      <c r="E6" s="12" t="s">
        <v>92</v>
      </c>
      <c r="F6" s="12" t="s">
        <v>93</v>
      </c>
    </row>
    <row r="7" customFormat="false" ht="13.5" hidden="false" customHeight="true" outlineLevel="0" collapsed="false">
      <c r="A7" s="12" t="s">
        <v>81</v>
      </c>
      <c r="B7" s="12" t="s">
        <v>57</v>
      </c>
      <c r="C7" s="12" t="n">
        <v>3</v>
      </c>
      <c r="D7" s="12" t="s">
        <v>94</v>
      </c>
      <c r="E7" s="12" t="s">
        <v>92</v>
      </c>
      <c r="F7" s="12" t="s">
        <v>93</v>
      </c>
    </row>
    <row r="8" customFormat="false" ht="13.5" hidden="false" customHeight="true" outlineLevel="0" collapsed="false">
      <c r="A8" s="12" t="s">
        <v>81</v>
      </c>
      <c r="B8" s="12" t="s">
        <v>59</v>
      </c>
      <c r="C8" s="12" t="n">
        <v>0</v>
      </c>
      <c r="D8" s="12" t="s">
        <v>95</v>
      </c>
      <c r="E8" s="12" t="s">
        <v>92</v>
      </c>
      <c r="F8" s="12" t="s">
        <v>93</v>
      </c>
    </row>
    <row r="9" customFormat="false" ht="13.5" hidden="false" customHeight="true" outlineLevel="0" collapsed="false">
      <c r="A9" s="12" t="s">
        <v>81</v>
      </c>
      <c r="B9" s="12" t="s">
        <v>60</v>
      </c>
      <c r="C9" s="12" t="n">
        <v>1</v>
      </c>
      <c r="D9" s="12" t="s">
        <v>96</v>
      </c>
      <c r="E9" s="12" t="s">
        <v>92</v>
      </c>
      <c r="F9" s="12" t="s">
        <v>93</v>
      </c>
    </row>
    <row r="10" customFormat="false" ht="13.5" hidden="false" customHeight="true" outlineLevel="0" collapsed="false">
      <c r="A10" s="12" t="s">
        <v>81</v>
      </c>
      <c r="B10" s="12" t="s">
        <v>61</v>
      </c>
      <c r="C10" s="12" t="n">
        <v>1</v>
      </c>
      <c r="D10" s="12" t="s">
        <v>97</v>
      </c>
      <c r="E10" s="12" t="s">
        <v>92</v>
      </c>
      <c r="F10" s="12" t="s">
        <v>93</v>
      </c>
    </row>
    <row r="11" customFormat="false" ht="13.5" hidden="false" customHeight="true" outlineLevel="0" collapsed="false">
      <c r="A11" s="12" t="s">
        <v>81</v>
      </c>
      <c r="B11" s="12" t="s">
        <v>62</v>
      </c>
      <c r="C11" s="12" t="n">
        <v>1</v>
      </c>
      <c r="D11" s="12" t="s">
        <v>98</v>
      </c>
      <c r="E11" s="12" t="s">
        <v>92</v>
      </c>
      <c r="F11" s="12" t="s">
        <v>93</v>
      </c>
    </row>
    <row r="12" customFormat="false" ht="13.5" hidden="false" customHeight="true" outlineLevel="0" collapsed="false">
      <c r="A12" s="12" t="s">
        <v>81</v>
      </c>
      <c r="B12" s="12" t="s">
        <v>63</v>
      </c>
      <c r="C12" s="12" t="n">
        <v>2</v>
      </c>
      <c r="D12" s="12" t="s">
        <v>99</v>
      </c>
      <c r="E12" s="12" t="s">
        <v>92</v>
      </c>
      <c r="F12" s="12" t="s">
        <v>93</v>
      </c>
    </row>
    <row r="13" customFormat="false" ht="13.5" hidden="false" customHeight="true" outlineLevel="0" collapsed="false">
      <c r="A13" s="12" t="s">
        <v>81</v>
      </c>
      <c r="B13" s="12" t="s">
        <v>64</v>
      </c>
      <c r="C13" s="12" t="n">
        <v>3</v>
      </c>
      <c r="D13" s="12" t="s">
        <v>100</v>
      </c>
      <c r="E13" s="12" t="s">
        <v>92</v>
      </c>
      <c r="F13" s="12" t="s">
        <v>93</v>
      </c>
    </row>
    <row r="14" customFormat="false" ht="13.5" hidden="false" customHeight="true" outlineLevel="0" collapsed="false">
      <c r="A14" s="12" t="s">
        <v>81</v>
      </c>
      <c r="B14" s="12" t="s">
        <v>65</v>
      </c>
      <c r="C14" s="12" t="n">
        <v>1</v>
      </c>
      <c r="D14" s="12" t="s">
        <v>101</v>
      </c>
      <c r="E14" s="12" t="s">
        <v>92</v>
      </c>
      <c r="F14" s="12" t="s">
        <v>93</v>
      </c>
    </row>
    <row r="15" customFormat="false" ht="13.5" hidden="false" customHeight="true" outlineLevel="0" collapsed="false">
      <c r="A15" s="12" t="s">
        <v>81</v>
      </c>
      <c r="B15" s="12" t="s">
        <v>66</v>
      </c>
      <c r="C15" s="12" t="n">
        <v>1</v>
      </c>
      <c r="D15" s="12" t="s">
        <v>102</v>
      </c>
      <c r="E15" s="12" t="s">
        <v>92</v>
      </c>
      <c r="F15" s="12" t="s">
        <v>93</v>
      </c>
    </row>
    <row r="16" customFormat="false" ht="13.5" hidden="false" customHeight="true" outlineLevel="0" collapsed="false">
      <c r="A16" s="12" t="s">
        <v>82</v>
      </c>
      <c r="B16" s="12" t="s">
        <v>55</v>
      </c>
      <c r="C16" s="12" t="n">
        <v>4</v>
      </c>
      <c r="D16" s="12" t="s">
        <v>103</v>
      </c>
      <c r="E16" s="12" t="s">
        <v>92</v>
      </c>
      <c r="F16" s="12" t="s">
        <v>93</v>
      </c>
    </row>
    <row r="17" customFormat="false" ht="13.5" hidden="false" customHeight="true" outlineLevel="0" collapsed="false">
      <c r="A17" s="12" t="s">
        <v>82</v>
      </c>
      <c r="B17" s="12" t="s">
        <v>57</v>
      </c>
      <c r="C17" s="12" t="n">
        <v>4</v>
      </c>
      <c r="D17" s="12" t="s">
        <v>104</v>
      </c>
      <c r="E17" s="12" t="s">
        <v>92</v>
      </c>
      <c r="F17" s="12" t="s">
        <v>93</v>
      </c>
    </row>
    <row r="18" customFormat="false" ht="13.5" hidden="false" customHeight="true" outlineLevel="0" collapsed="false">
      <c r="A18" s="12" t="s">
        <v>82</v>
      </c>
      <c r="B18" s="12" t="s">
        <v>59</v>
      </c>
      <c r="C18" s="12" t="n">
        <v>0</v>
      </c>
      <c r="D18" s="12" t="s">
        <v>105</v>
      </c>
      <c r="E18" s="12" t="s">
        <v>92</v>
      </c>
      <c r="F18" s="12" t="s">
        <v>93</v>
      </c>
    </row>
    <row r="19" customFormat="false" ht="13.5" hidden="false" customHeight="true" outlineLevel="0" collapsed="false">
      <c r="A19" s="12" t="s">
        <v>82</v>
      </c>
      <c r="B19" s="12" t="s">
        <v>60</v>
      </c>
      <c r="C19" s="12" t="n">
        <v>1</v>
      </c>
      <c r="D19" s="12" t="s">
        <v>106</v>
      </c>
      <c r="E19" s="12" t="s">
        <v>92</v>
      </c>
      <c r="F19" s="12" t="s">
        <v>93</v>
      </c>
    </row>
    <row r="20" customFormat="false" ht="13.5" hidden="false" customHeight="true" outlineLevel="0" collapsed="false">
      <c r="A20" s="12" t="s">
        <v>82</v>
      </c>
      <c r="B20" s="12" t="s">
        <v>61</v>
      </c>
      <c r="C20" s="12" t="n">
        <v>2</v>
      </c>
      <c r="D20" s="12" t="s">
        <v>107</v>
      </c>
      <c r="E20" s="12" t="s">
        <v>92</v>
      </c>
      <c r="F20" s="12" t="s">
        <v>93</v>
      </c>
    </row>
    <row r="21" customFormat="false" ht="13.5" hidden="false" customHeight="true" outlineLevel="0" collapsed="false">
      <c r="A21" s="12" t="s">
        <v>82</v>
      </c>
      <c r="B21" s="12" t="s">
        <v>62</v>
      </c>
      <c r="C21" s="12" t="n">
        <v>2</v>
      </c>
      <c r="D21" s="12" t="s">
        <v>108</v>
      </c>
      <c r="E21" s="12" t="s">
        <v>92</v>
      </c>
      <c r="F21" s="12" t="s">
        <v>93</v>
      </c>
    </row>
    <row r="22" customFormat="false" ht="13.5" hidden="false" customHeight="true" outlineLevel="0" collapsed="false">
      <c r="A22" s="12" t="s">
        <v>82</v>
      </c>
      <c r="B22" s="12" t="s">
        <v>63</v>
      </c>
      <c r="C22" s="12" t="n">
        <v>2</v>
      </c>
      <c r="D22" s="12" t="s">
        <v>109</v>
      </c>
      <c r="E22" s="12" t="s">
        <v>92</v>
      </c>
      <c r="F22" s="12" t="s">
        <v>93</v>
      </c>
    </row>
    <row r="23" customFormat="false" ht="13.5" hidden="false" customHeight="true" outlineLevel="0" collapsed="false">
      <c r="A23" s="12" t="s">
        <v>82</v>
      </c>
      <c r="B23" s="12" t="s">
        <v>64</v>
      </c>
      <c r="C23" s="12" t="n">
        <v>4</v>
      </c>
      <c r="D23" s="12" t="s">
        <v>110</v>
      </c>
      <c r="E23" s="12" t="s">
        <v>92</v>
      </c>
      <c r="F23" s="12" t="s">
        <v>93</v>
      </c>
    </row>
    <row r="24" customFormat="false" ht="13.5" hidden="false" customHeight="true" outlineLevel="0" collapsed="false">
      <c r="A24" s="12" t="s">
        <v>82</v>
      </c>
      <c r="B24" s="12" t="s">
        <v>65</v>
      </c>
      <c r="C24" s="12" t="n">
        <v>1</v>
      </c>
      <c r="D24" s="12" t="s">
        <v>111</v>
      </c>
      <c r="E24" s="12" t="s">
        <v>92</v>
      </c>
      <c r="F24" s="12" t="s">
        <v>93</v>
      </c>
    </row>
    <row r="25" customFormat="false" ht="13.5" hidden="false" customHeight="true" outlineLevel="0" collapsed="false">
      <c r="A25" s="12" t="s">
        <v>82</v>
      </c>
      <c r="B25" s="12" t="s">
        <v>66</v>
      </c>
      <c r="C25" s="12" t="n">
        <v>2</v>
      </c>
      <c r="D25" s="12" t="s">
        <v>112</v>
      </c>
      <c r="E25" s="12" t="s">
        <v>92</v>
      </c>
      <c r="F25" s="12" t="s">
        <v>93</v>
      </c>
    </row>
    <row r="26" customFormat="false" ht="13.5" hidden="false" customHeight="true" outlineLevel="0" collapsed="false">
      <c r="A26" s="12" t="s">
        <v>83</v>
      </c>
      <c r="B26" s="12" t="s">
        <v>55</v>
      </c>
      <c r="C26" s="12" t="n">
        <v>4</v>
      </c>
      <c r="D26" s="12" t="s">
        <v>113</v>
      </c>
      <c r="E26" s="12" t="s">
        <v>92</v>
      </c>
      <c r="F26" s="12" t="s">
        <v>93</v>
      </c>
    </row>
    <row r="27" customFormat="false" ht="13.5" hidden="false" customHeight="true" outlineLevel="0" collapsed="false">
      <c r="A27" s="12" t="s">
        <v>83</v>
      </c>
      <c r="B27" s="12" t="s">
        <v>57</v>
      </c>
      <c r="C27" s="12" t="n">
        <v>4</v>
      </c>
      <c r="D27" s="12" t="s">
        <v>114</v>
      </c>
      <c r="E27" s="12" t="s">
        <v>92</v>
      </c>
      <c r="F27" s="12" t="s">
        <v>93</v>
      </c>
    </row>
    <row r="28" customFormat="false" ht="13.5" hidden="false" customHeight="true" outlineLevel="0" collapsed="false">
      <c r="A28" s="12" t="s">
        <v>83</v>
      </c>
      <c r="B28" s="12" t="s">
        <v>59</v>
      </c>
      <c r="C28" s="12" t="n">
        <v>0</v>
      </c>
      <c r="D28" s="12" t="s">
        <v>115</v>
      </c>
      <c r="E28" s="12" t="s">
        <v>92</v>
      </c>
      <c r="F28" s="12" t="s">
        <v>93</v>
      </c>
    </row>
    <row r="29" customFormat="false" ht="13.5" hidden="false" customHeight="true" outlineLevel="0" collapsed="false">
      <c r="A29" s="12" t="s">
        <v>83</v>
      </c>
      <c r="B29" s="12" t="s">
        <v>60</v>
      </c>
      <c r="C29" s="12" t="n">
        <v>0</v>
      </c>
      <c r="D29" s="12" t="s">
        <v>116</v>
      </c>
      <c r="E29" s="12" t="s">
        <v>92</v>
      </c>
      <c r="F29" s="12" t="s">
        <v>93</v>
      </c>
    </row>
    <row r="30" customFormat="false" ht="13.5" hidden="false" customHeight="true" outlineLevel="0" collapsed="false">
      <c r="A30" s="12" t="s">
        <v>83</v>
      </c>
      <c r="B30" s="12" t="s">
        <v>61</v>
      </c>
      <c r="C30" s="12" t="n">
        <v>0</v>
      </c>
      <c r="D30" s="12" t="s">
        <v>117</v>
      </c>
      <c r="E30" s="12" t="s">
        <v>92</v>
      </c>
      <c r="F30" s="12" t="s">
        <v>93</v>
      </c>
    </row>
    <row r="31" customFormat="false" ht="13.5" hidden="false" customHeight="true" outlineLevel="0" collapsed="false">
      <c r="A31" s="12" t="s">
        <v>83</v>
      </c>
      <c r="B31" s="12" t="s">
        <v>62</v>
      </c>
      <c r="C31" s="12" t="n">
        <v>1</v>
      </c>
      <c r="D31" s="12" t="s">
        <v>118</v>
      </c>
      <c r="E31" s="12" t="s">
        <v>92</v>
      </c>
      <c r="F31" s="12" t="s">
        <v>93</v>
      </c>
    </row>
    <row r="32" customFormat="false" ht="13.5" hidden="false" customHeight="true" outlineLevel="0" collapsed="false">
      <c r="A32" s="12" t="s">
        <v>83</v>
      </c>
      <c r="B32" s="12" t="s">
        <v>63</v>
      </c>
      <c r="C32" s="12" t="n">
        <v>1</v>
      </c>
      <c r="D32" s="12" t="s">
        <v>119</v>
      </c>
      <c r="E32" s="12" t="s">
        <v>92</v>
      </c>
      <c r="F32" s="12" t="s">
        <v>93</v>
      </c>
    </row>
    <row r="33" customFormat="false" ht="13.5" hidden="false" customHeight="true" outlineLevel="0" collapsed="false">
      <c r="A33" s="12" t="s">
        <v>83</v>
      </c>
      <c r="B33" s="12" t="s">
        <v>64</v>
      </c>
      <c r="C33" s="12" t="n">
        <v>4</v>
      </c>
      <c r="D33" s="12" t="s">
        <v>120</v>
      </c>
      <c r="E33" s="12" t="s">
        <v>92</v>
      </c>
      <c r="F33" s="12" t="s">
        <v>93</v>
      </c>
    </row>
    <row r="34" customFormat="false" ht="13.5" hidden="false" customHeight="true" outlineLevel="0" collapsed="false">
      <c r="A34" s="12" t="s">
        <v>83</v>
      </c>
      <c r="B34" s="12" t="s">
        <v>65</v>
      </c>
      <c r="C34" s="12" t="n">
        <v>1</v>
      </c>
      <c r="D34" s="12" t="s">
        <v>121</v>
      </c>
      <c r="E34" s="12" t="s">
        <v>92</v>
      </c>
      <c r="F34" s="12" t="s">
        <v>93</v>
      </c>
    </row>
    <row r="35" customFormat="false" ht="13.5" hidden="false" customHeight="true" outlineLevel="0" collapsed="false">
      <c r="A35" s="12" t="s">
        <v>83</v>
      </c>
      <c r="B35" s="12" t="s">
        <v>66</v>
      </c>
      <c r="C35" s="12" t="n">
        <v>2</v>
      </c>
      <c r="D35" s="12" t="s">
        <v>122</v>
      </c>
      <c r="E35" s="12" t="s">
        <v>92</v>
      </c>
      <c r="F35" s="12" t="s">
        <v>93</v>
      </c>
    </row>
    <row r="36" customFormat="false" ht="13.5" hidden="false" customHeight="true" outlineLevel="0" collapsed="false">
      <c r="A36" s="12" t="s">
        <v>84</v>
      </c>
      <c r="B36" s="12" t="s">
        <v>55</v>
      </c>
      <c r="C36" s="12" t="n">
        <v>2</v>
      </c>
      <c r="D36" s="12" t="s">
        <v>123</v>
      </c>
      <c r="E36" s="12" t="s">
        <v>92</v>
      </c>
      <c r="F36" s="12" t="s">
        <v>93</v>
      </c>
    </row>
    <row r="37" customFormat="false" ht="13.5" hidden="false" customHeight="true" outlineLevel="0" collapsed="false">
      <c r="A37" s="12" t="s">
        <v>84</v>
      </c>
      <c r="B37" s="12" t="s">
        <v>57</v>
      </c>
      <c r="C37" s="12" t="n">
        <v>3</v>
      </c>
      <c r="D37" s="12" t="s">
        <v>124</v>
      </c>
      <c r="E37" s="12" t="s">
        <v>92</v>
      </c>
      <c r="F37" s="12" t="s">
        <v>93</v>
      </c>
    </row>
    <row r="38" customFormat="false" ht="13.5" hidden="false" customHeight="true" outlineLevel="0" collapsed="false">
      <c r="A38" s="12" t="s">
        <v>84</v>
      </c>
      <c r="B38" s="12" t="s">
        <v>59</v>
      </c>
      <c r="C38" s="12" t="n">
        <v>4</v>
      </c>
      <c r="D38" s="12" t="s">
        <v>125</v>
      </c>
      <c r="E38" s="12" t="s">
        <v>92</v>
      </c>
      <c r="F38" s="12" t="s">
        <v>93</v>
      </c>
    </row>
    <row r="39" customFormat="false" ht="13.5" hidden="false" customHeight="true" outlineLevel="0" collapsed="false">
      <c r="A39" s="12" t="s">
        <v>84</v>
      </c>
      <c r="B39" s="12" t="s">
        <v>60</v>
      </c>
      <c r="C39" s="12" t="n">
        <v>4</v>
      </c>
      <c r="D39" s="12" t="s">
        <v>126</v>
      </c>
      <c r="E39" s="12" t="s">
        <v>92</v>
      </c>
      <c r="F39" s="12" t="s">
        <v>93</v>
      </c>
    </row>
    <row r="40" customFormat="false" ht="13.5" hidden="false" customHeight="true" outlineLevel="0" collapsed="false">
      <c r="A40" s="12" t="s">
        <v>84</v>
      </c>
      <c r="B40" s="12" t="s">
        <v>61</v>
      </c>
      <c r="C40" s="12" t="n">
        <v>4</v>
      </c>
      <c r="D40" s="12" t="s">
        <v>127</v>
      </c>
      <c r="E40" s="12" t="s">
        <v>92</v>
      </c>
      <c r="F40" s="12" t="s">
        <v>93</v>
      </c>
    </row>
    <row r="41" customFormat="false" ht="13.5" hidden="false" customHeight="true" outlineLevel="0" collapsed="false">
      <c r="A41" s="12" t="s">
        <v>84</v>
      </c>
      <c r="B41" s="12" t="s">
        <v>62</v>
      </c>
      <c r="C41" s="12" t="n">
        <v>4</v>
      </c>
      <c r="D41" s="12" t="s">
        <v>128</v>
      </c>
      <c r="E41" s="12" t="s">
        <v>92</v>
      </c>
      <c r="F41" s="12" t="s">
        <v>93</v>
      </c>
    </row>
    <row r="42" customFormat="false" ht="13.5" hidden="false" customHeight="true" outlineLevel="0" collapsed="false">
      <c r="A42" s="12" t="s">
        <v>84</v>
      </c>
      <c r="B42" s="12" t="s">
        <v>63</v>
      </c>
      <c r="C42" s="12" t="n">
        <v>4</v>
      </c>
      <c r="D42" s="12" t="s">
        <v>129</v>
      </c>
      <c r="E42" s="12" t="s">
        <v>92</v>
      </c>
      <c r="F42" s="12" t="s">
        <v>93</v>
      </c>
    </row>
    <row r="43" customFormat="false" ht="13.5" hidden="false" customHeight="true" outlineLevel="0" collapsed="false">
      <c r="A43" s="12" t="s">
        <v>84</v>
      </c>
      <c r="B43" s="12" t="s">
        <v>64</v>
      </c>
      <c r="C43" s="12" t="n">
        <v>2</v>
      </c>
      <c r="D43" s="12" t="s">
        <v>130</v>
      </c>
      <c r="E43" s="12" t="s">
        <v>92</v>
      </c>
      <c r="F43" s="12" t="s">
        <v>93</v>
      </c>
    </row>
    <row r="44" customFormat="false" ht="13.5" hidden="false" customHeight="true" outlineLevel="0" collapsed="false">
      <c r="A44" s="12" t="s">
        <v>84</v>
      </c>
      <c r="B44" s="12" t="s">
        <v>65</v>
      </c>
      <c r="C44" s="12" t="n">
        <v>4</v>
      </c>
      <c r="D44" s="12" t="s">
        <v>131</v>
      </c>
      <c r="E44" s="12" t="s">
        <v>92</v>
      </c>
      <c r="F44" s="12" t="s">
        <v>93</v>
      </c>
    </row>
    <row r="45" customFormat="false" ht="13.5" hidden="false" customHeight="true" outlineLevel="0" collapsed="false">
      <c r="A45" s="12" t="s">
        <v>84</v>
      </c>
      <c r="B45" s="12" t="s">
        <v>66</v>
      </c>
      <c r="C45" s="12" t="n">
        <v>4</v>
      </c>
      <c r="D45" s="12" t="s">
        <v>132</v>
      </c>
      <c r="E45" s="12" t="s">
        <v>92</v>
      </c>
      <c r="F45" s="12" t="s">
        <v>93</v>
      </c>
    </row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G2"/>
    <mergeCell ref="A3:G3"/>
  </mergeCells>
  <conditionalFormatting sqref="C6:C4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5"/>
    <col collapsed="false" customWidth="true" hidden="false" outlineLevel="0" max="4" min="4" style="0" width="38"/>
    <col collapsed="false" customWidth="true" hidden="false" outlineLevel="0" max="5" min="5" style="0" width="36"/>
    <col collapsed="false" customWidth="true" hidden="false" outlineLevel="0" max="8" min="6" style="0" width="13"/>
    <col collapsed="false" customWidth="true" hidden="false" outlineLevel="0" max="9" min="9" style="0" width="55"/>
    <col collapsed="false" customWidth="true" hidden="false" outlineLevel="0" max="10" min="10" style="0" width="48"/>
    <col collapsed="false" customWidth="true" hidden="false" outlineLevel="0" max="26" min="11" style="0" width="8.63"/>
  </cols>
  <sheetData>
    <row r="1" customFormat="false" ht="18.75" hidden="false" customHeight="true" outlineLevel="0" collapsed="false">
      <c r="A1" s="9" t="s">
        <v>133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</row>
    <row r="3" customFormat="false" ht="21.75" hidden="false" customHeight="true" outlineLevel="0" collapsed="false">
      <c r="A3" s="10" t="s">
        <v>134</v>
      </c>
      <c r="B3" s="10"/>
      <c r="C3" s="10"/>
      <c r="D3" s="10"/>
      <c r="E3" s="10"/>
      <c r="F3" s="10"/>
      <c r="G3" s="10"/>
      <c r="H3" s="10"/>
      <c r="I3" s="10"/>
      <c r="J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135</v>
      </c>
      <c r="B5" s="11" t="s">
        <v>136</v>
      </c>
      <c r="C5" s="11" t="s">
        <v>137</v>
      </c>
      <c r="D5" s="11" t="s">
        <v>138</v>
      </c>
      <c r="E5" s="11" t="s">
        <v>139</v>
      </c>
      <c r="F5" s="11" t="s">
        <v>140</v>
      </c>
      <c r="G5" s="11" t="s">
        <v>42</v>
      </c>
      <c r="H5" s="11" t="s">
        <v>141</v>
      </c>
      <c r="I5" s="11" t="s">
        <v>142</v>
      </c>
      <c r="J5" s="11" t="s">
        <v>143</v>
      </c>
    </row>
    <row r="6" customFormat="false" ht="13.5" hidden="false" customHeight="true" outlineLevel="0" collapsed="false">
      <c r="A6" s="12" t="n">
        <v>1</v>
      </c>
      <c r="B6" s="12" t="s">
        <v>144</v>
      </c>
      <c r="C6" s="12" t="s">
        <v>144</v>
      </c>
      <c r="D6" s="12" t="s">
        <v>145</v>
      </c>
      <c r="E6" s="12" t="s">
        <v>146</v>
      </c>
      <c r="F6" s="12" t="n">
        <v>0</v>
      </c>
      <c r="G6" s="12" t="s">
        <v>147</v>
      </c>
      <c r="H6" s="12" t="n">
        <f aca="false">IF(F6&gt;0,1,0)</f>
        <v>0</v>
      </c>
      <c r="I6" s="12" t="s">
        <v>148</v>
      </c>
      <c r="J6" s="12"/>
    </row>
    <row r="7" customFormat="false" ht="13.5" hidden="false" customHeight="true" outlineLevel="0" collapsed="false">
      <c r="A7" s="12" t="n">
        <v>2</v>
      </c>
      <c r="B7" s="12" t="s">
        <v>144</v>
      </c>
      <c r="C7" s="12" t="s">
        <v>144</v>
      </c>
      <c r="D7" s="12" t="s">
        <v>149</v>
      </c>
      <c r="E7" s="12" t="s">
        <v>150</v>
      </c>
      <c r="F7" s="12" t="n">
        <v>1</v>
      </c>
      <c r="G7" s="12" t="s">
        <v>151</v>
      </c>
      <c r="H7" s="12" t="n">
        <f aca="false">IF(F7&gt;0,1,0)</f>
        <v>1</v>
      </c>
      <c r="I7" s="12" t="s">
        <v>152</v>
      </c>
      <c r="J7" s="12"/>
    </row>
    <row r="8" customFormat="false" ht="13.5" hidden="false" customHeight="true" outlineLevel="0" collapsed="false">
      <c r="A8" s="12" t="n">
        <v>3</v>
      </c>
      <c r="B8" s="12" t="s">
        <v>144</v>
      </c>
      <c r="C8" s="12" t="s">
        <v>144</v>
      </c>
      <c r="D8" s="12" t="s">
        <v>153</v>
      </c>
      <c r="E8" s="12" t="s">
        <v>154</v>
      </c>
      <c r="F8" s="12" t="n">
        <v>0</v>
      </c>
      <c r="G8" s="12" t="s">
        <v>147</v>
      </c>
      <c r="H8" s="12" t="n">
        <f aca="false">IF(F8&gt;0,1,0)</f>
        <v>0</v>
      </c>
      <c r="I8" s="12" t="s">
        <v>155</v>
      </c>
      <c r="J8" s="12" t="s">
        <v>156</v>
      </c>
    </row>
    <row r="9" customFormat="false" ht="13.5" hidden="false" customHeight="true" outlineLevel="0" collapsed="false">
      <c r="A9" s="12" t="n">
        <v>4</v>
      </c>
      <c r="B9" s="12" t="s">
        <v>157</v>
      </c>
      <c r="C9" s="12" t="s">
        <v>157</v>
      </c>
      <c r="D9" s="12" t="s">
        <v>158</v>
      </c>
      <c r="E9" s="12" t="s">
        <v>154</v>
      </c>
      <c r="F9" s="12" t="n">
        <v>0</v>
      </c>
      <c r="G9" s="12" t="s">
        <v>147</v>
      </c>
      <c r="H9" s="12" t="n">
        <f aca="false">IF(F9&gt;0,1,0)</f>
        <v>0</v>
      </c>
      <c r="I9" s="12" t="s">
        <v>159</v>
      </c>
      <c r="J9" s="12"/>
    </row>
    <row r="10" customFormat="false" ht="13.5" hidden="false" customHeight="true" outlineLevel="0" collapsed="false">
      <c r="A10" s="12" t="n">
        <v>5</v>
      </c>
      <c r="B10" s="12" t="s">
        <v>157</v>
      </c>
      <c r="C10" s="12" t="s">
        <v>157</v>
      </c>
      <c r="D10" s="12" t="s">
        <v>160</v>
      </c>
      <c r="E10" s="12" t="s">
        <v>161</v>
      </c>
      <c r="F10" s="12" t="n">
        <v>1</v>
      </c>
      <c r="G10" s="12" t="s">
        <v>151</v>
      </c>
      <c r="H10" s="12" t="n">
        <f aca="false">IF(F10&gt;0,1,0)</f>
        <v>1</v>
      </c>
      <c r="I10" s="12" t="s">
        <v>162</v>
      </c>
      <c r="J10" s="12" t="s">
        <v>163</v>
      </c>
    </row>
    <row r="11" customFormat="false" ht="13.5" hidden="false" customHeight="true" outlineLevel="0" collapsed="false">
      <c r="A11" s="12" t="n">
        <v>6</v>
      </c>
      <c r="B11" s="12" t="s">
        <v>157</v>
      </c>
      <c r="C11" s="12" t="s">
        <v>157</v>
      </c>
      <c r="D11" s="12" t="s">
        <v>164</v>
      </c>
      <c r="E11" s="12" t="s">
        <v>150</v>
      </c>
      <c r="F11" s="12" t="n">
        <v>1</v>
      </c>
      <c r="G11" s="12" t="s">
        <v>151</v>
      </c>
      <c r="H11" s="12" t="n">
        <f aca="false">IF(F11&gt;0,1,0)</f>
        <v>1</v>
      </c>
      <c r="I11" s="12" t="s">
        <v>165</v>
      </c>
      <c r="J11" s="12"/>
    </row>
    <row r="12" customFormat="false" ht="13.5" hidden="false" customHeight="true" outlineLevel="0" collapsed="false">
      <c r="A12" s="12" t="n">
        <v>7</v>
      </c>
      <c r="B12" s="12" t="s">
        <v>157</v>
      </c>
      <c r="C12" s="12" t="s">
        <v>157</v>
      </c>
      <c r="D12" s="12" t="s">
        <v>166</v>
      </c>
      <c r="E12" s="12" t="s">
        <v>167</v>
      </c>
      <c r="F12" s="12" t="n">
        <v>0</v>
      </c>
      <c r="G12" s="12" t="s">
        <v>147</v>
      </c>
      <c r="H12" s="12" t="n">
        <f aca="false">IF(F12&gt;0,1,0)</f>
        <v>0</v>
      </c>
      <c r="I12" s="12" t="s">
        <v>168</v>
      </c>
      <c r="J12" s="12" t="s">
        <v>163</v>
      </c>
    </row>
    <row r="13" customFormat="false" ht="13.5" hidden="false" customHeight="true" outlineLevel="0" collapsed="false">
      <c r="A13" s="12" t="n">
        <v>8</v>
      </c>
      <c r="B13" s="12" t="s">
        <v>157</v>
      </c>
      <c r="C13" s="12" t="s">
        <v>157</v>
      </c>
      <c r="D13" s="12" t="s">
        <v>169</v>
      </c>
      <c r="E13" s="12" t="s">
        <v>170</v>
      </c>
      <c r="F13" s="12" t="n">
        <v>1</v>
      </c>
      <c r="G13" s="12" t="s">
        <v>151</v>
      </c>
      <c r="H13" s="12" t="n">
        <f aca="false">IF(F13&gt;0,1,0)</f>
        <v>1</v>
      </c>
      <c r="I13" s="12" t="s">
        <v>171</v>
      </c>
      <c r="J13" s="12"/>
    </row>
    <row r="14" customFormat="false" ht="13.5" hidden="false" customHeight="true" outlineLevel="0" collapsed="false">
      <c r="A14" s="12" t="n">
        <v>9</v>
      </c>
      <c r="B14" s="12" t="s">
        <v>172</v>
      </c>
      <c r="C14" s="12" t="s">
        <v>172</v>
      </c>
      <c r="D14" s="12" t="s">
        <v>173</v>
      </c>
      <c r="E14" s="12" t="s">
        <v>174</v>
      </c>
      <c r="F14" s="12" t="n">
        <v>0</v>
      </c>
      <c r="G14" s="12" t="s">
        <v>147</v>
      </c>
      <c r="H14" s="12" t="n">
        <f aca="false">IF(F14&gt;0,1,0)</f>
        <v>0</v>
      </c>
      <c r="I14" s="12" t="s">
        <v>175</v>
      </c>
      <c r="J14" s="12"/>
    </row>
    <row r="15" customFormat="false" ht="13.5" hidden="false" customHeight="true" outlineLevel="0" collapsed="false">
      <c r="A15" s="12" t="n">
        <v>10</v>
      </c>
      <c r="B15" s="12" t="s">
        <v>172</v>
      </c>
      <c r="C15" s="12" t="s">
        <v>172</v>
      </c>
      <c r="D15" s="12" t="s">
        <v>176</v>
      </c>
      <c r="E15" s="12" t="s">
        <v>161</v>
      </c>
      <c r="F15" s="12" t="n">
        <v>1</v>
      </c>
      <c r="G15" s="12" t="s">
        <v>151</v>
      </c>
      <c r="H15" s="12" t="n">
        <f aca="false">IF(F15&gt;0,1,0)</f>
        <v>1</v>
      </c>
      <c r="I15" s="12" t="s">
        <v>177</v>
      </c>
      <c r="J15" s="12"/>
    </row>
    <row r="16" customFormat="false" ht="13.5" hidden="false" customHeight="true" outlineLevel="0" collapsed="false">
      <c r="A16" s="12" t="n">
        <v>11</v>
      </c>
      <c r="B16" s="12" t="s">
        <v>172</v>
      </c>
      <c r="C16" s="12" t="s">
        <v>172</v>
      </c>
      <c r="D16" s="12" t="s">
        <v>178</v>
      </c>
      <c r="E16" s="12" t="s">
        <v>154</v>
      </c>
      <c r="F16" s="12" t="n">
        <v>0</v>
      </c>
      <c r="G16" s="12" t="s">
        <v>147</v>
      </c>
      <c r="H16" s="12" t="n">
        <f aca="false">IF(F16&gt;0,1,0)</f>
        <v>0</v>
      </c>
      <c r="I16" s="12" t="s">
        <v>179</v>
      </c>
      <c r="J16" s="12" t="s">
        <v>156</v>
      </c>
    </row>
    <row r="17" customFormat="false" ht="13.5" hidden="false" customHeight="true" outlineLevel="0" collapsed="false">
      <c r="A17" s="12" t="n">
        <v>12</v>
      </c>
      <c r="B17" s="12" t="s">
        <v>180</v>
      </c>
      <c r="C17" s="12" t="s">
        <v>180</v>
      </c>
      <c r="D17" s="12" t="s">
        <v>181</v>
      </c>
      <c r="E17" s="12" t="s">
        <v>150</v>
      </c>
      <c r="F17" s="12" t="n">
        <v>0</v>
      </c>
      <c r="G17" s="12" t="s">
        <v>147</v>
      </c>
      <c r="H17" s="12" t="n">
        <f aca="false">IF(F17&gt;0,1,0)</f>
        <v>0</v>
      </c>
      <c r="I17" s="12" t="s">
        <v>182</v>
      </c>
      <c r="J17" s="12"/>
    </row>
    <row r="18" customFormat="false" ht="13.5" hidden="false" customHeight="true" outlineLevel="0" collapsed="false">
      <c r="A18" s="12" t="n">
        <v>13</v>
      </c>
      <c r="B18" s="12" t="s">
        <v>180</v>
      </c>
      <c r="C18" s="12" t="s">
        <v>180</v>
      </c>
      <c r="D18" s="12" t="s">
        <v>183</v>
      </c>
      <c r="E18" s="12" t="s">
        <v>184</v>
      </c>
      <c r="F18" s="12" t="n">
        <v>0</v>
      </c>
      <c r="G18" s="12" t="s">
        <v>147</v>
      </c>
      <c r="H18" s="12" t="n">
        <f aca="false">IF(F18&gt;0,1,0)</f>
        <v>0</v>
      </c>
      <c r="I18" s="12" t="s">
        <v>185</v>
      </c>
      <c r="J18" s="12" t="s">
        <v>186</v>
      </c>
    </row>
    <row r="19" customFormat="false" ht="13.5" hidden="false" customHeight="true" outlineLevel="0" collapsed="false">
      <c r="A19" s="12" t="n">
        <v>14</v>
      </c>
      <c r="B19" s="12" t="s">
        <v>180</v>
      </c>
      <c r="C19" s="12" t="s">
        <v>180</v>
      </c>
      <c r="D19" s="12" t="s">
        <v>187</v>
      </c>
      <c r="E19" s="12" t="s">
        <v>170</v>
      </c>
      <c r="F19" s="12" t="n">
        <v>1</v>
      </c>
      <c r="G19" s="12" t="s">
        <v>151</v>
      </c>
      <c r="H19" s="12" t="n">
        <f aca="false">IF(F19&gt;0,1,0)</f>
        <v>1</v>
      </c>
      <c r="I19" s="12" t="s">
        <v>188</v>
      </c>
      <c r="J19" s="12"/>
    </row>
    <row r="20" customFormat="false" ht="13.5" hidden="false" customHeight="true" outlineLevel="0" collapsed="false">
      <c r="A20" s="12" t="n">
        <v>15</v>
      </c>
      <c r="B20" s="12" t="s">
        <v>180</v>
      </c>
      <c r="C20" s="12" t="s">
        <v>180</v>
      </c>
      <c r="D20" s="12" t="s">
        <v>189</v>
      </c>
      <c r="E20" s="12" t="s">
        <v>174</v>
      </c>
      <c r="F20" s="12" t="n">
        <v>1</v>
      </c>
      <c r="G20" s="12" t="s">
        <v>151</v>
      </c>
      <c r="H20" s="12" t="n">
        <f aca="false">IF(F20&gt;0,1,0)</f>
        <v>1</v>
      </c>
      <c r="I20" s="12" t="s">
        <v>190</v>
      </c>
      <c r="J20" s="12"/>
    </row>
    <row r="21" customFormat="false" ht="13.5" hidden="false" customHeight="true" outlineLevel="0" collapsed="false">
      <c r="A21" s="12" t="n">
        <v>16</v>
      </c>
      <c r="B21" s="12" t="s">
        <v>157</v>
      </c>
      <c r="C21" s="12" t="s">
        <v>180</v>
      </c>
      <c r="D21" s="12" t="s">
        <v>191</v>
      </c>
      <c r="E21" s="12" t="s">
        <v>146</v>
      </c>
      <c r="F21" s="12" t="n">
        <v>0</v>
      </c>
      <c r="G21" s="12" t="s">
        <v>147</v>
      </c>
      <c r="H21" s="12" t="n">
        <f aca="false">IF(F21&gt;0,1,0)</f>
        <v>0</v>
      </c>
      <c r="I21" s="12" t="s">
        <v>192</v>
      </c>
      <c r="J21" s="12" t="s">
        <v>193</v>
      </c>
    </row>
    <row r="22" customFormat="false" ht="13.5" hidden="false" customHeight="true" outlineLevel="0" collapsed="false">
      <c r="A22" s="12" t="n">
        <v>17</v>
      </c>
      <c r="B22" s="12" t="s">
        <v>194</v>
      </c>
      <c r="C22" s="12" t="s">
        <v>194</v>
      </c>
      <c r="D22" s="12" t="s">
        <v>195</v>
      </c>
      <c r="E22" s="12" t="s">
        <v>146</v>
      </c>
      <c r="F22" s="12" t="n">
        <v>0</v>
      </c>
      <c r="G22" s="12" t="s">
        <v>147</v>
      </c>
      <c r="H22" s="12" t="n">
        <f aca="false">IF(F22&gt;0,1,0)</f>
        <v>0</v>
      </c>
      <c r="I22" s="12" t="s">
        <v>196</v>
      </c>
      <c r="J22" s="12"/>
    </row>
    <row r="23" customFormat="false" ht="13.5" hidden="false" customHeight="true" outlineLevel="0" collapsed="false">
      <c r="A23" s="12" t="n">
        <v>18</v>
      </c>
      <c r="B23" s="12" t="s">
        <v>194</v>
      </c>
      <c r="C23" s="12" t="s">
        <v>194</v>
      </c>
      <c r="D23" s="12" t="s">
        <v>197</v>
      </c>
      <c r="E23" s="12" t="s">
        <v>184</v>
      </c>
      <c r="F23" s="12" t="n">
        <v>0</v>
      </c>
      <c r="G23" s="12" t="s">
        <v>147</v>
      </c>
      <c r="H23" s="12" t="n">
        <f aca="false">IF(F23&gt;0,1,0)</f>
        <v>0</v>
      </c>
      <c r="I23" s="12" t="s">
        <v>198</v>
      </c>
      <c r="J23" s="12" t="s">
        <v>199</v>
      </c>
    </row>
    <row r="24" customFormat="false" ht="13.5" hidden="false" customHeight="true" outlineLevel="0" collapsed="false">
      <c r="A24" s="12" t="n">
        <v>19</v>
      </c>
      <c r="B24" s="12" t="s">
        <v>194</v>
      </c>
      <c r="C24" s="12" t="s">
        <v>194</v>
      </c>
      <c r="D24" s="12" t="s">
        <v>200</v>
      </c>
      <c r="E24" s="12" t="s">
        <v>201</v>
      </c>
      <c r="F24" s="12" t="n">
        <v>0</v>
      </c>
      <c r="G24" s="12" t="s">
        <v>147</v>
      </c>
      <c r="H24" s="12" t="n">
        <f aca="false">IF(F24&gt;0,1,0)</f>
        <v>0</v>
      </c>
      <c r="I24" s="12" t="s">
        <v>202</v>
      </c>
      <c r="J24" s="12" t="s">
        <v>203</v>
      </c>
    </row>
    <row r="25" customFormat="false" ht="13.5" hidden="false" customHeight="true" outlineLevel="0" collapsed="false">
      <c r="A25" s="12" t="n">
        <v>20</v>
      </c>
      <c r="B25" s="12" t="s">
        <v>194</v>
      </c>
      <c r="C25" s="12" t="s">
        <v>194</v>
      </c>
      <c r="D25" s="12" t="s">
        <v>204</v>
      </c>
      <c r="E25" s="12" t="s">
        <v>154</v>
      </c>
      <c r="F25" s="12" t="n">
        <v>0</v>
      </c>
      <c r="G25" s="12" t="s">
        <v>147</v>
      </c>
      <c r="H25" s="12" t="n">
        <f aca="false">IF(F25&gt;0,1,0)</f>
        <v>0</v>
      </c>
      <c r="I25" s="12" t="s">
        <v>205</v>
      </c>
      <c r="J25" s="12"/>
    </row>
    <row r="26" customFormat="false" ht="13.5" hidden="false" customHeight="true" outlineLevel="0" collapsed="false">
      <c r="A26" s="12" t="n">
        <v>21</v>
      </c>
      <c r="B26" s="12" t="s">
        <v>194</v>
      </c>
      <c r="C26" s="12" t="s">
        <v>194</v>
      </c>
      <c r="D26" s="12" t="s">
        <v>191</v>
      </c>
      <c r="E26" s="12" t="s">
        <v>146</v>
      </c>
      <c r="F26" s="12" t="n">
        <v>0</v>
      </c>
      <c r="G26" s="12" t="s">
        <v>147</v>
      </c>
      <c r="H26" s="12" t="n">
        <f aca="false">IF(F26&gt;0,1,0)</f>
        <v>0</v>
      </c>
      <c r="I26" s="12" t="s">
        <v>192</v>
      </c>
      <c r="J26" s="12"/>
    </row>
    <row r="27" customFormat="false" ht="13.5" hidden="false" customHeight="true" outlineLevel="0" collapsed="false">
      <c r="A27" s="12" t="n">
        <v>22</v>
      </c>
      <c r="B27" s="12" t="s">
        <v>194</v>
      </c>
      <c r="C27" s="12" t="s">
        <v>194</v>
      </c>
      <c r="D27" s="12" t="s">
        <v>206</v>
      </c>
      <c r="E27" s="12" t="s">
        <v>174</v>
      </c>
      <c r="F27" s="12" t="n">
        <v>1</v>
      </c>
      <c r="G27" s="12" t="s">
        <v>151</v>
      </c>
      <c r="H27" s="12" t="n">
        <f aca="false">IF(F27&gt;0,1,0)</f>
        <v>1</v>
      </c>
      <c r="I27" s="12" t="s">
        <v>207</v>
      </c>
      <c r="J27" s="12" t="s">
        <v>199</v>
      </c>
    </row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J2"/>
    <mergeCell ref="A3:J3"/>
  </mergeCells>
  <conditionalFormatting sqref="F6:F2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6"/>
    <col collapsed="false" customWidth="true" hidden="false" outlineLevel="0" max="7" min="7" style="0" width="8.63"/>
    <col collapsed="false" customWidth="true" hidden="false" outlineLevel="0" max="8" min="8" style="0" width="42"/>
    <col collapsed="false" customWidth="true" hidden="false" outlineLevel="0" max="13" min="9" style="0" width="18"/>
    <col collapsed="false" customWidth="true" hidden="false" outlineLevel="0" max="26" min="14" style="0" width="8.63"/>
  </cols>
  <sheetData>
    <row r="1" customFormat="false" ht="18.75" hidden="false" customHeight="true" outlineLevel="0" collapsed="false">
      <c r="A1" s="9" t="s">
        <v>208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21.75" hidden="false" customHeight="true" outlineLevel="0" collapsed="false">
      <c r="A3" s="10" t="s">
        <v>209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210</v>
      </c>
      <c r="B5" s="11" t="s">
        <v>211</v>
      </c>
      <c r="C5" s="11" t="s">
        <v>212</v>
      </c>
      <c r="D5" s="11" t="s">
        <v>213</v>
      </c>
      <c r="H5" s="11" t="s">
        <v>214</v>
      </c>
      <c r="I5" s="11" t="s">
        <v>215</v>
      </c>
      <c r="J5" s="11" t="s">
        <v>216</v>
      </c>
      <c r="K5" s="11" t="s">
        <v>217</v>
      </c>
      <c r="L5" s="11" t="s">
        <v>218</v>
      </c>
      <c r="M5" s="11" t="s">
        <v>219</v>
      </c>
    </row>
    <row r="6" customFormat="false" ht="13.5" hidden="false" customHeight="true" outlineLevel="0" collapsed="false">
      <c r="A6" s="12" t="s">
        <v>220</v>
      </c>
      <c r="B6" s="12" t="s">
        <v>221</v>
      </c>
      <c r="C6" s="12" t="n">
        <f aca="false">COUNTA('04_Heuristica_Dados'!A6:A27)</f>
        <v>22</v>
      </c>
      <c r="D6" s="12" t="n">
        <v>22</v>
      </c>
      <c r="H6" s="12" t="s">
        <v>146</v>
      </c>
      <c r="I6" s="12" t="n">
        <v>4</v>
      </c>
      <c r="J6" s="14" t="n">
        <v>18.18</v>
      </c>
      <c r="K6" s="14" t="n">
        <f aca="false">COUNTIF('04_Heuristica_Dados'!$E$6:$E$27,H6)</f>
        <v>4</v>
      </c>
      <c r="L6" s="14" t="n">
        <f aca="false">100*K6/COUNTA('04_Heuristica_Dados'!$A$6:$A$27)</f>
        <v>18.18181818</v>
      </c>
      <c r="M6" s="14" t="n">
        <f aca="false">K6-I6</f>
        <v>0</v>
      </c>
    </row>
    <row r="7" customFormat="false" ht="13.5" hidden="false" customHeight="true" outlineLevel="0" collapsed="false">
      <c r="A7" s="12" t="s">
        <v>147</v>
      </c>
      <c r="B7" s="12" t="s">
        <v>222</v>
      </c>
      <c r="C7" s="12" t="n">
        <f aca="false">COUNTIF('04_Heuristica_Dados'!F6:F27,0)</f>
        <v>14</v>
      </c>
      <c r="D7" s="12" t="n">
        <v>14</v>
      </c>
      <c r="H7" s="12" t="s">
        <v>174</v>
      </c>
      <c r="I7" s="12" t="n">
        <v>4</v>
      </c>
      <c r="J7" s="14" t="n">
        <v>18.18</v>
      </c>
      <c r="K7" s="14" t="n">
        <f aca="false">COUNTIF('04_Heuristica_Dados'!$E$6:$E$27,H7)</f>
        <v>3</v>
      </c>
      <c r="L7" s="14" t="n">
        <f aca="false">100*K7/COUNTA('04_Heuristica_Dados'!$A$6:$A$27)</f>
        <v>13.63636364</v>
      </c>
      <c r="M7" s="14" t="n">
        <f aca="false">K7-I7</f>
        <v>-1</v>
      </c>
    </row>
    <row r="8" customFormat="false" ht="13.5" hidden="false" customHeight="true" outlineLevel="0" collapsed="false">
      <c r="A8" s="12" t="s">
        <v>223</v>
      </c>
      <c r="B8" s="12" t="s">
        <v>224</v>
      </c>
      <c r="C8" s="12" t="n">
        <f aca="false">COUNTIF('04_Heuristica_Dados'!F6:F27,"&gt;0")</f>
        <v>8</v>
      </c>
      <c r="D8" s="12" t="n">
        <v>8</v>
      </c>
      <c r="H8" s="12" t="s">
        <v>154</v>
      </c>
      <c r="I8" s="12" t="n">
        <v>3</v>
      </c>
      <c r="J8" s="14" t="n">
        <v>13.64</v>
      </c>
      <c r="K8" s="14" t="n">
        <f aca="false">COUNTIF('04_Heuristica_Dados'!$E$6:$E$27,H8)</f>
        <v>4</v>
      </c>
      <c r="L8" s="14" t="n">
        <f aca="false">100*K8/COUNTA('04_Heuristica_Dados'!$A$6:$A$27)</f>
        <v>18.18181818</v>
      </c>
      <c r="M8" s="14" t="n">
        <f aca="false">K8-I8</f>
        <v>1</v>
      </c>
    </row>
    <row r="9" customFormat="false" ht="13.5" hidden="false" customHeight="true" outlineLevel="0" collapsed="false">
      <c r="A9" s="12" t="s">
        <v>225</v>
      </c>
      <c r="B9" s="12" t="s">
        <v>226</v>
      </c>
      <c r="C9" s="14" t="n">
        <f aca="false">100*C7/C6</f>
        <v>63.63636364</v>
      </c>
      <c r="D9" s="14" t="n">
        <v>63.64</v>
      </c>
      <c r="H9" s="12" t="s">
        <v>150</v>
      </c>
      <c r="I9" s="12" t="n">
        <v>3</v>
      </c>
      <c r="J9" s="14" t="n">
        <v>13.64</v>
      </c>
      <c r="K9" s="14" t="n">
        <f aca="false">COUNTIF('04_Heuristica_Dados'!$E$6:$E$27,H9)</f>
        <v>3</v>
      </c>
      <c r="L9" s="14" t="n">
        <f aca="false">100*K9/COUNTA('04_Heuristica_Dados'!$A$6:$A$27)</f>
        <v>13.63636364</v>
      </c>
      <c r="M9" s="14" t="n">
        <f aca="false">K9-I9</f>
        <v>0</v>
      </c>
    </row>
    <row r="10" customFormat="false" ht="13.5" hidden="false" customHeight="true" outlineLevel="0" collapsed="false">
      <c r="A10" s="12" t="s">
        <v>227</v>
      </c>
      <c r="B10" s="12" t="s">
        <v>228</v>
      </c>
      <c r="C10" s="14" t="n">
        <f aca="false">100*C8/C6</f>
        <v>36.36363636</v>
      </c>
      <c r="D10" s="14" t="n">
        <v>36.36</v>
      </c>
      <c r="H10" s="12" t="s">
        <v>161</v>
      </c>
      <c r="I10" s="12" t="n">
        <v>2</v>
      </c>
      <c r="J10" s="14" t="n">
        <v>9.09</v>
      </c>
      <c r="K10" s="14" t="n">
        <f aca="false">COUNTIF('04_Heuristica_Dados'!$E$6:$E$27,H10)</f>
        <v>2</v>
      </c>
      <c r="L10" s="14" t="n">
        <f aca="false">100*K10/COUNTA('04_Heuristica_Dados'!$A$6:$A$27)</f>
        <v>9.090909091</v>
      </c>
      <c r="M10" s="14" t="n">
        <f aca="false">K10-I10</f>
        <v>0</v>
      </c>
    </row>
    <row r="11" customFormat="false" ht="13.5" hidden="false" customHeight="true" outlineLevel="0" collapsed="false">
      <c r="A11" s="12" t="s">
        <v>229</v>
      </c>
      <c r="B11" s="12" t="s">
        <v>230</v>
      </c>
      <c r="C11" s="14" t="n">
        <f aca="false">AVERAGE('04_Heuristica_Dados'!F6:F27)</f>
        <v>0.3636363636</v>
      </c>
      <c r="D11" s="14" t="n">
        <v>0.36</v>
      </c>
      <c r="H11" s="12" t="s">
        <v>170</v>
      </c>
      <c r="I11" s="12" t="n">
        <v>2</v>
      </c>
      <c r="J11" s="14" t="n">
        <v>9.09</v>
      </c>
      <c r="K11" s="14" t="n">
        <f aca="false">COUNTIF('04_Heuristica_Dados'!$E$6:$E$27,H11)</f>
        <v>2</v>
      </c>
      <c r="L11" s="14" t="n">
        <f aca="false">100*K11/COUNTA('04_Heuristica_Dados'!$A$6:$A$27)</f>
        <v>9.090909091</v>
      </c>
      <c r="M11" s="14" t="n">
        <f aca="false">K11-I11</f>
        <v>0</v>
      </c>
    </row>
    <row r="12" customFormat="false" ht="13.5" hidden="false" customHeight="true" outlineLevel="0" collapsed="false">
      <c r="H12" s="12" t="s">
        <v>184</v>
      </c>
      <c r="I12" s="12" t="n">
        <v>2</v>
      </c>
      <c r="J12" s="14" t="n">
        <v>9.09</v>
      </c>
      <c r="K12" s="14" t="n">
        <f aca="false">COUNTIF('04_Heuristica_Dados'!$E$6:$E$27,H12)</f>
        <v>2</v>
      </c>
      <c r="L12" s="14" t="n">
        <f aca="false">100*K12/COUNTA('04_Heuristica_Dados'!$A$6:$A$27)</f>
        <v>9.090909091</v>
      </c>
      <c r="M12" s="14" t="n">
        <f aca="false">K12-I12</f>
        <v>0</v>
      </c>
    </row>
    <row r="13" customFormat="false" ht="13.5" hidden="false" customHeight="true" outlineLevel="0" collapsed="false">
      <c r="H13" s="12" t="s">
        <v>167</v>
      </c>
      <c r="I13" s="12" t="n">
        <v>1</v>
      </c>
      <c r="J13" s="14" t="n">
        <v>4.55</v>
      </c>
      <c r="K13" s="14" t="n">
        <f aca="false">COUNTIF('04_Heuristica_Dados'!$E$6:$E$27,H13)</f>
        <v>1</v>
      </c>
      <c r="L13" s="14" t="n">
        <f aca="false">100*K13/COUNTA('04_Heuristica_Dados'!$A$6:$A$27)</f>
        <v>4.545454545</v>
      </c>
      <c r="M13" s="14" t="n">
        <f aca="false">K13-I13</f>
        <v>0</v>
      </c>
    </row>
    <row r="14" customFormat="false" ht="13.5" hidden="false" customHeight="true" outlineLevel="0" collapsed="false">
      <c r="A14" s="11" t="s">
        <v>231</v>
      </c>
      <c r="B14" s="11" t="s">
        <v>232</v>
      </c>
      <c r="C14" s="11" t="s">
        <v>147</v>
      </c>
      <c r="D14" s="11" t="s">
        <v>233</v>
      </c>
      <c r="E14" s="11" t="s">
        <v>234</v>
      </c>
      <c r="F14" s="11" t="s">
        <v>235</v>
      </c>
      <c r="H14" s="12" t="s">
        <v>201</v>
      </c>
      <c r="I14" s="12" t="n">
        <v>1</v>
      </c>
      <c r="J14" s="14" t="n">
        <v>4.55</v>
      </c>
      <c r="K14" s="14" t="n">
        <f aca="false">COUNTIF('04_Heuristica_Dados'!$E$6:$E$27,H14)</f>
        <v>1</v>
      </c>
      <c r="L14" s="14" t="n">
        <f aca="false">100*K14/COUNTA('04_Heuristica_Dados'!$A$6:$A$27)</f>
        <v>4.545454545</v>
      </c>
      <c r="M14" s="14" t="n">
        <f aca="false">K14-I14</f>
        <v>0</v>
      </c>
    </row>
    <row r="15" customFormat="false" ht="13.5" hidden="false" customHeight="true" outlineLevel="0" collapsed="false">
      <c r="A15" s="12" t="s">
        <v>144</v>
      </c>
      <c r="B15" s="12" t="n">
        <f aca="false">COUNTIF('04_Heuristica_Dados'!$C$6:$C$27,A15)</f>
        <v>3</v>
      </c>
      <c r="C15" s="12" t="n">
        <f aca="false">COUNTIFS('04_Heuristica_Dados'!$C$6:$C$27,A15,'04_Heuristica_Dados'!$F$6:$F$27,0)</f>
        <v>2</v>
      </c>
      <c r="D15" s="12" t="n">
        <f aca="false">COUNTIFS('04_Heuristica_Dados'!$C$6:$C$27,A15,'04_Heuristica_Dados'!$F$6:$F$27,"&gt;0")</f>
        <v>1</v>
      </c>
      <c r="E15" s="14" t="n">
        <f aca="false">IFERROR(100*D15/B15,0)</f>
        <v>33.3333333333333</v>
      </c>
      <c r="F15" s="14" t="n">
        <f aca="false">IFERROR(SUMIF('04_Heuristica_Dados'!$C$6:$C$27,A15,'04_Heuristica_Dados'!$F$6:$F$27)/B15,0)</f>
        <v>0.3333333333</v>
      </c>
    </row>
    <row r="16" customFormat="false" ht="13.5" hidden="false" customHeight="true" outlineLevel="0" collapsed="false">
      <c r="A16" s="12" t="s">
        <v>157</v>
      </c>
      <c r="B16" s="12" t="n">
        <f aca="false">COUNTIF('04_Heuristica_Dados'!$C$6:$C$27,A16)</f>
        <v>5</v>
      </c>
      <c r="C16" s="12" t="n">
        <f aca="false">COUNTIFS('04_Heuristica_Dados'!$C$6:$C$27,A16,'04_Heuristica_Dados'!$F$6:$F$27,0)</f>
        <v>2</v>
      </c>
      <c r="D16" s="12" t="n">
        <f aca="false">COUNTIFS('04_Heuristica_Dados'!$C$6:$C$27,A16,'04_Heuristica_Dados'!$F$6:$F$27,"&gt;0")</f>
        <v>3</v>
      </c>
      <c r="E16" s="14" t="n">
        <f aca="false">IFERROR(100*D16/B16,0)</f>
        <v>60</v>
      </c>
      <c r="F16" s="14" t="n">
        <f aca="false">IFERROR(SUMIF('04_Heuristica_Dados'!$C$6:$C$27,A16,'04_Heuristica_Dados'!$F$6:$F$27)/B16,0)</f>
        <v>0.6</v>
      </c>
    </row>
    <row r="17" customFormat="false" ht="13.5" hidden="false" customHeight="true" outlineLevel="0" collapsed="false">
      <c r="A17" s="12" t="s">
        <v>172</v>
      </c>
      <c r="B17" s="12" t="n">
        <f aca="false">COUNTIF('04_Heuristica_Dados'!$C$6:$C$27,A17)</f>
        <v>3</v>
      </c>
      <c r="C17" s="12" t="n">
        <f aca="false">COUNTIFS('04_Heuristica_Dados'!$C$6:$C$27,A17,'04_Heuristica_Dados'!$F$6:$F$27,0)</f>
        <v>2</v>
      </c>
      <c r="D17" s="12" t="n">
        <f aca="false">COUNTIFS('04_Heuristica_Dados'!$C$6:$C$27,A17,'04_Heuristica_Dados'!$F$6:$F$27,"&gt;0")</f>
        <v>1</v>
      </c>
      <c r="E17" s="14" t="n">
        <f aca="false">IFERROR(100*D17/B17,0)</f>
        <v>33.3333333333333</v>
      </c>
      <c r="F17" s="14" t="n">
        <f aca="false">IFERROR(SUMIF('04_Heuristica_Dados'!$C$6:$C$27,A17,'04_Heuristica_Dados'!$F$6:$F$27)/B17,0)</f>
        <v>0.3333333333</v>
      </c>
      <c r="H17" s="16" t="s">
        <v>236</v>
      </c>
      <c r="I17" s="16"/>
      <c r="J17" s="16"/>
      <c r="K17" s="16"/>
      <c r="L17" s="16"/>
      <c r="M17" s="16"/>
    </row>
    <row r="18" customFormat="false" ht="13.5" hidden="false" customHeight="true" outlineLevel="0" collapsed="false">
      <c r="A18" s="12" t="s">
        <v>180</v>
      </c>
      <c r="B18" s="12" t="n">
        <f aca="false">COUNTIF('04_Heuristica_Dados'!$C$6:$C$27,A18)</f>
        <v>5</v>
      </c>
      <c r="C18" s="12" t="n">
        <f aca="false">COUNTIFS('04_Heuristica_Dados'!$C$6:$C$27,A18,'04_Heuristica_Dados'!$F$6:$F$27,0)</f>
        <v>3</v>
      </c>
      <c r="D18" s="12" t="n">
        <f aca="false">COUNTIFS('04_Heuristica_Dados'!$C$6:$C$27,A18,'04_Heuristica_Dados'!$F$6:$F$27,"&gt;0")</f>
        <v>2</v>
      </c>
      <c r="E18" s="14" t="n">
        <f aca="false">IFERROR(100*D18/B18,0)</f>
        <v>40</v>
      </c>
      <c r="F18" s="14" t="n">
        <f aca="false">IFERROR(SUMIF('04_Heuristica_Dados'!$C$6:$C$27,A18,'04_Heuristica_Dados'!$F$6:$F$27)/B18,0)</f>
        <v>0.4</v>
      </c>
      <c r="H18" s="16"/>
      <c r="I18" s="16"/>
      <c r="J18" s="16"/>
      <c r="K18" s="16"/>
      <c r="L18" s="16"/>
      <c r="M18" s="16"/>
    </row>
    <row r="19" customFormat="false" ht="13.5" hidden="false" customHeight="true" outlineLevel="0" collapsed="false">
      <c r="A19" s="12" t="s">
        <v>194</v>
      </c>
      <c r="B19" s="12" t="n">
        <f aca="false">COUNTIF('04_Heuristica_Dados'!$C$6:$C$27,A19)</f>
        <v>6</v>
      </c>
      <c r="C19" s="12" t="n">
        <f aca="false">COUNTIFS('04_Heuristica_Dados'!$C$6:$C$27,A19,'04_Heuristica_Dados'!$F$6:$F$27,0)</f>
        <v>5</v>
      </c>
      <c r="D19" s="12" t="n">
        <f aca="false">COUNTIFS('04_Heuristica_Dados'!$C$6:$C$27,A19,'04_Heuristica_Dados'!$F$6:$F$27,"&gt;0")</f>
        <v>1</v>
      </c>
      <c r="E19" s="14" t="n">
        <f aca="false">IFERROR(100*D19/B19,0)</f>
        <v>16.6666666666667</v>
      </c>
      <c r="F19" s="14" t="n">
        <f aca="false">IFERROR(SUMIF('04_Heuristica_Dados'!$C$6:$C$27,A19,'04_Heuristica_Dados'!$F$6:$F$27)/B19,0)</f>
        <v>0.1666666667</v>
      </c>
      <c r="H19" s="16"/>
      <c r="I19" s="16"/>
      <c r="J19" s="16"/>
      <c r="K19" s="16"/>
      <c r="L19" s="16"/>
      <c r="M19" s="16"/>
    </row>
    <row r="20" customFormat="false" ht="13.5" hidden="false" customHeight="true" outlineLevel="0" collapsed="false">
      <c r="H20" s="16"/>
      <c r="I20" s="16"/>
      <c r="J20" s="16"/>
      <c r="K20" s="16"/>
      <c r="L20" s="16"/>
      <c r="M20" s="16"/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N2"/>
    <mergeCell ref="A3:N3"/>
    <mergeCell ref="H17:M20"/>
  </mergeCells>
  <conditionalFormatting sqref="M6:M14">
    <cfRule type="cellIs" priority="2" operator="notEqual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6"/>
    <col collapsed="false" customWidth="true" hidden="false" outlineLevel="0" max="10" min="10" style="0" width="34"/>
    <col collapsed="false" customWidth="true" hidden="false" outlineLevel="0" max="17" min="11" style="0" width="17"/>
    <col collapsed="false" customWidth="true" hidden="false" outlineLevel="0" max="26" min="18" style="0" width="8.63"/>
  </cols>
  <sheetData>
    <row r="1" customFormat="false" ht="18.75" hidden="false" customHeight="true" outlineLevel="0" collapsed="false">
      <c r="A1" s="9" t="s">
        <v>237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customFormat="false" ht="21.75" hidden="false" customHeight="true" outlineLevel="0" collapsed="false">
      <c r="A3" s="10" t="s">
        <v>238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239</v>
      </c>
      <c r="B5" s="11" t="s">
        <v>240</v>
      </c>
      <c r="C5" s="11" t="s">
        <v>241</v>
      </c>
      <c r="D5" s="11" t="s">
        <v>242</v>
      </c>
      <c r="E5" s="11" t="s">
        <v>243</v>
      </c>
      <c r="F5" s="11" t="s">
        <v>244</v>
      </c>
      <c r="G5" s="11" t="s">
        <v>245</v>
      </c>
      <c r="H5" s="11" t="s">
        <v>246</v>
      </c>
      <c r="I5" s="11" t="s">
        <v>247</v>
      </c>
      <c r="J5" s="11" t="s">
        <v>248</v>
      </c>
      <c r="K5" s="11" t="s">
        <v>249</v>
      </c>
      <c r="L5" s="11" t="s">
        <v>250</v>
      </c>
      <c r="M5" s="11" t="s">
        <v>251</v>
      </c>
      <c r="N5" s="11" t="s">
        <v>252</v>
      </c>
      <c r="O5" s="11" t="s">
        <v>253</v>
      </c>
      <c r="P5" s="11" t="s">
        <v>254</v>
      </c>
      <c r="Q5" s="11" t="s">
        <v>255</v>
      </c>
    </row>
    <row r="6" customFormat="false" ht="13.5" hidden="false" customHeight="true" outlineLevel="0" collapsed="false">
      <c r="A6" s="12" t="n">
        <v>1</v>
      </c>
      <c r="B6" s="14" t="n">
        <v>0.42</v>
      </c>
      <c r="C6" s="14" t="n">
        <v>0</v>
      </c>
      <c r="D6" s="14" t="n">
        <v>2.1</v>
      </c>
      <c r="E6" s="15" t="n">
        <v>12</v>
      </c>
      <c r="F6" s="15" t="n">
        <v>340</v>
      </c>
      <c r="G6" s="15" t="n">
        <f aca="false">100-C6</f>
        <v>100</v>
      </c>
      <c r="H6" s="14" t="n">
        <f aca="false">IFERROR(D6/E6,"")</f>
        <v>0.175</v>
      </c>
      <c r="I6" s="14" t="n">
        <f aca="false">IFERROR(F6/A6,"")</f>
        <v>340</v>
      </c>
      <c r="J6" s="12" t="s">
        <v>256</v>
      </c>
      <c r="K6" s="14" t="str">
        <f aca="false">IFERROR(SUMIFS('11_JMeter_Template'!$D$16:$D$515,'11_JMeter_Template'!$A$16:$A$515,A6)/SUMIFS('11_JMeter_Template'!$C$16:$C$515,'11_JMeter_Template'!$A$16:$A$515,A6)/1000,"")</f>
        <v/>
      </c>
      <c r="L6" s="14" t="str">
        <f aca="false">IFERROR(100*SUMIFS('11_JMeter_Template'!$E$16:$E$515,'11_JMeter_Template'!$A$16:$A$515,A6)/SUMIFS('11_JMeter_Template'!$C$16:$C$515,'11_JMeter_Template'!$A$16:$A$515,A6),"")</f>
        <v/>
      </c>
      <c r="M6" s="14" t="str">
        <f aca="false">IFERROR(SUMIFS('11_JMeter_Template'!$C$16:$C$515,'11_JMeter_Template'!$A$16:$A$515,A6)/SUMIFS('11_JMeter_Template'!$F$16:$F$515,'11_JMeter_Template'!$A$16:$A$515,A6),"")</f>
        <v/>
      </c>
      <c r="N6" s="14" t="str">
        <f aca="false">IFERROR(SUMIFS('11_JMeter_Template'!$G$16:$G$515,'11_JMeter_Template'!$A$16:$A$515,A6)/COUNTIF('11_JMeter_Template'!$A$16:$A$515,A6),"")</f>
        <v/>
      </c>
      <c r="O6" s="14" t="str">
        <f aca="false">IFERROR(SUMIFS('11_JMeter_Template'!$H$16:$H$515,'11_JMeter_Template'!$A$16:$A$515,A6)/COUNTIF('11_JMeter_Template'!$A$16:$A$515,A6),"")</f>
        <v/>
      </c>
      <c r="P6" s="14" t="str">
        <f aca="false">IF(K6="","",K6-B6)</f>
        <v/>
      </c>
      <c r="Q6" s="14" t="str">
        <f aca="false">IF(L6="","",L6-C6)</f>
        <v/>
      </c>
    </row>
    <row r="7" customFormat="false" ht="13.5" hidden="false" customHeight="true" outlineLevel="0" collapsed="false">
      <c r="A7" s="12" t="n">
        <v>5</v>
      </c>
      <c r="B7" s="14" t="n">
        <v>0.51</v>
      </c>
      <c r="C7" s="14" t="n">
        <v>0</v>
      </c>
      <c r="D7" s="14" t="n">
        <v>9.4</v>
      </c>
      <c r="E7" s="15" t="n">
        <v>18</v>
      </c>
      <c r="F7" s="15" t="n">
        <v>410</v>
      </c>
      <c r="G7" s="15" t="n">
        <f aca="false">100-C7</f>
        <v>100</v>
      </c>
      <c r="H7" s="14" t="n">
        <f aca="false">IFERROR(D7/E7,"")</f>
        <v>0.522222222222222</v>
      </c>
      <c r="I7" s="14" t="n">
        <f aca="false">IFERROR(F7/A7,"")</f>
        <v>82</v>
      </c>
      <c r="J7" s="12" t="s">
        <v>256</v>
      </c>
      <c r="K7" s="14" t="str">
        <f aca="false">IFERROR(SUMIFS('11_JMeter_Template'!$D$16:$D$515,'11_JMeter_Template'!$A$16:$A$515,A7)/SUMIFS('11_JMeter_Template'!$C$16:$C$515,'11_JMeter_Template'!$A$16:$A$515,A7)/1000,"")</f>
        <v/>
      </c>
      <c r="L7" s="14" t="str">
        <f aca="false">IFERROR(100*SUMIFS('11_JMeter_Template'!$E$16:$E$515,'11_JMeter_Template'!$A$16:$A$515,A7)/SUMIFS('11_JMeter_Template'!$C$16:$C$515,'11_JMeter_Template'!$A$16:$A$515,A7),"")</f>
        <v/>
      </c>
      <c r="M7" s="14" t="str">
        <f aca="false">IFERROR(SUMIFS('11_JMeter_Template'!$C$16:$C$515,'11_JMeter_Template'!$A$16:$A$515,A7)/SUMIFS('11_JMeter_Template'!$F$16:$F$515,'11_JMeter_Template'!$A$16:$A$515,A7),"")</f>
        <v/>
      </c>
      <c r="N7" s="14" t="str">
        <f aca="false">IFERROR(SUMIFS('11_JMeter_Template'!$G$16:$G$515,'11_JMeter_Template'!$A$16:$A$515,A7)/COUNTIF('11_JMeter_Template'!$A$16:$A$515,A7),"")</f>
        <v/>
      </c>
      <c r="O7" s="14" t="str">
        <f aca="false">IFERROR(SUMIFS('11_JMeter_Template'!$H$16:$H$515,'11_JMeter_Template'!$A$16:$A$515,A7)/COUNTIF('11_JMeter_Template'!$A$16:$A$515,A7),"")</f>
        <v/>
      </c>
      <c r="P7" s="14" t="str">
        <f aca="false">IF(K7="","",K7-B7)</f>
        <v/>
      </c>
      <c r="Q7" s="14" t="str">
        <f aca="false">IF(L7="","",L7-C7)</f>
        <v/>
      </c>
    </row>
    <row r="8" customFormat="false" ht="13.5" hidden="false" customHeight="true" outlineLevel="0" collapsed="false">
      <c r="A8" s="12" t="n">
        <v>10</v>
      </c>
      <c r="B8" s="14" t="n">
        <v>0.68</v>
      </c>
      <c r="C8" s="14" t="n">
        <v>0.2</v>
      </c>
      <c r="D8" s="14" t="n">
        <v>17.8</v>
      </c>
      <c r="E8" s="15" t="n">
        <v>27</v>
      </c>
      <c r="F8" s="15" t="n">
        <v>520</v>
      </c>
      <c r="G8" s="15" t="n">
        <f aca="false">100-C8</f>
        <v>99.8</v>
      </c>
      <c r="H8" s="14" t="n">
        <f aca="false">IFERROR(D8/E8,"")</f>
        <v>0.659259259259259</v>
      </c>
      <c r="I8" s="14" t="n">
        <f aca="false">IFERROR(F8/A8,"")</f>
        <v>52</v>
      </c>
      <c r="J8" s="12" t="s">
        <v>256</v>
      </c>
      <c r="K8" s="14" t="str">
        <f aca="false">IFERROR(SUMIFS('11_JMeter_Template'!$D$16:$D$515,'11_JMeter_Template'!$A$16:$A$515,A8)/SUMIFS('11_JMeter_Template'!$C$16:$C$515,'11_JMeter_Template'!$A$16:$A$515,A8)/1000,"")</f>
        <v/>
      </c>
      <c r="L8" s="14" t="str">
        <f aca="false">IFERROR(100*SUMIFS('11_JMeter_Template'!$E$16:$E$515,'11_JMeter_Template'!$A$16:$A$515,A8)/SUMIFS('11_JMeter_Template'!$C$16:$C$515,'11_JMeter_Template'!$A$16:$A$515,A8),"")</f>
        <v/>
      </c>
      <c r="M8" s="14" t="str">
        <f aca="false">IFERROR(SUMIFS('11_JMeter_Template'!$C$16:$C$515,'11_JMeter_Template'!$A$16:$A$515,A8)/SUMIFS('11_JMeter_Template'!$F$16:$F$515,'11_JMeter_Template'!$A$16:$A$515,A8),"")</f>
        <v/>
      </c>
      <c r="N8" s="14" t="str">
        <f aca="false">IFERROR(SUMIFS('11_JMeter_Template'!$G$16:$G$515,'11_JMeter_Template'!$A$16:$A$515,A8)/COUNTIF('11_JMeter_Template'!$A$16:$A$515,A8),"")</f>
        <v/>
      </c>
      <c r="O8" s="14" t="str">
        <f aca="false">IFERROR(SUMIFS('11_JMeter_Template'!$H$16:$H$515,'11_JMeter_Template'!$A$16:$A$515,A8)/COUNTIF('11_JMeter_Template'!$A$16:$A$515,A8),"")</f>
        <v/>
      </c>
      <c r="P8" s="14" t="str">
        <f aca="false">IF(K8="","",K8-B8)</f>
        <v/>
      </c>
      <c r="Q8" s="14" t="str">
        <f aca="false">IF(L8="","",L8-C8)</f>
        <v/>
      </c>
    </row>
    <row r="9" customFormat="false" ht="13.5" hidden="false" customHeight="true" outlineLevel="0" collapsed="false">
      <c r="A9" s="12" t="n">
        <v>25</v>
      </c>
      <c r="B9" s="14" t="n">
        <v>0.95</v>
      </c>
      <c r="C9" s="14" t="n">
        <v>0.6</v>
      </c>
      <c r="D9" s="14" t="n">
        <v>37.5</v>
      </c>
      <c r="E9" s="15" t="n">
        <v>43</v>
      </c>
      <c r="F9" s="15" t="n">
        <v>690</v>
      </c>
      <c r="G9" s="15" t="n">
        <f aca="false">100-C9</f>
        <v>99.4</v>
      </c>
      <c r="H9" s="14" t="n">
        <f aca="false">IFERROR(D9/E9,"")</f>
        <v>0.872093023255814</v>
      </c>
      <c r="I9" s="14" t="n">
        <f aca="false">IFERROR(F9/A9,"")</f>
        <v>27.6</v>
      </c>
      <c r="J9" s="12" t="s">
        <v>256</v>
      </c>
      <c r="K9" s="14" t="str">
        <f aca="false">IFERROR(SUMIFS('11_JMeter_Template'!$D$16:$D$515,'11_JMeter_Template'!$A$16:$A$515,A9)/SUMIFS('11_JMeter_Template'!$C$16:$C$515,'11_JMeter_Template'!$A$16:$A$515,A9)/1000,"")</f>
        <v/>
      </c>
      <c r="L9" s="14" t="str">
        <f aca="false">IFERROR(100*SUMIFS('11_JMeter_Template'!$E$16:$E$515,'11_JMeter_Template'!$A$16:$A$515,A9)/SUMIFS('11_JMeter_Template'!$C$16:$C$515,'11_JMeter_Template'!$A$16:$A$515,A9),"")</f>
        <v/>
      </c>
      <c r="M9" s="14" t="str">
        <f aca="false">IFERROR(SUMIFS('11_JMeter_Template'!$C$16:$C$515,'11_JMeter_Template'!$A$16:$A$515,A9)/SUMIFS('11_JMeter_Template'!$F$16:$F$515,'11_JMeter_Template'!$A$16:$A$515,A9),"")</f>
        <v/>
      </c>
      <c r="N9" s="14" t="str">
        <f aca="false">IFERROR(SUMIFS('11_JMeter_Template'!$G$16:$G$515,'11_JMeter_Template'!$A$16:$A$515,A9)/COUNTIF('11_JMeter_Template'!$A$16:$A$515,A9),"")</f>
        <v/>
      </c>
      <c r="O9" s="14" t="str">
        <f aca="false">IFERROR(SUMIFS('11_JMeter_Template'!$H$16:$H$515,'11_JMeter_Template'!$A$16:$A$515,A9)/COUNTIF('11_JMeter_Template'!$A$16:$A$515,A9),"")</f>
        <v/>
      </c>
      <c r="P9" s="14" t="str">
        <f aca="false">IF(K9="","",K9-B9)</f>
        <v/>
      </c>
      <c r="Q9" s="14" t="str">
        <f aca="false">IF(L9="","",L9-C9)</f>
        <v/>
      </c>
    </row>
    <row r="10" customFormat="false" ht="13.5" hidden="false" customHeight="true" outlineLevel="0" collapsed="false">
      <c r="A10" s="12" t="n">
        <v>50</v>
      </c>
      <c r="B10" s="14" t="n">
        <v>1.48</v>
      </c>
      <c r="C10" s="14" t="n">
        <v>1.4</v>
      </c>
      <c r="D10" s="14" t="n">
        <v>54.2</v>
      </c>
      <c r="E10" s="15" t="n">
        <v>61</v>
      </c>
      <c r="F10" s="15" t="n">
        <v>870</v>
      </c>
      <c r="G10" s="15" t="n">
        <f aca="false">100-C10</f>
        <v>98.6</v>
      </c>
      <c r="H10" s="14" t="n">
        <f aca="false">IFERROR(D10/E10,"")</f>
        <v>0.888524590163935</v>
      </c>
      <c r="I10" s="14" t="n">
        <f aca="false">IFERROR(F10/A10,"")</f>
        <v>17.4</v>
      </c>
      <c r="J10" s="12" t="s">
        <v>256</v>
      </c>
      <c r="K10" s="14" t="str">
        <f aca="false">IFERROR(SUMIFS('11_JMeter_Template'!$D$16:$D$515,'11_JMeter_Template'!$A$16:$A$515,A10)/SUMIFS('11_JMeter_Template'!$C$16:$C$515,'11_JMeter_Template'!$A$16:$A$515,A10)/1000,"")</f>
        <v/>
      </c>
      <c r="L10" s="14" t="str">
        <f aca="false">IFERROR(100*SUMIFS('11_JMeter_Template'!$E$16:$E$515,'11_JMeter_Template'!$A$16:$A$515,A10)/SUMIFS('11_JMeter_Template'!$C$16:$C$515,'11_JMeter_Template'!$A$16:$A$515,A10),"")</f>
        <v/>
      </c>
      <c r="M10" s="14" t="str">
        <f aca="false">IFERROR(SUMIFS('11_JMeter_Template'!$C$16:$C$515,'11_JMeter_Template'!$A$16:$A$515,A10)/SUMIFS('11_JMeter_Template'!$F$16:$F$515,'11_JMeter_Template'!$A$16:$A$515,A10),"")</f>
        <v/>
      </c>
      <c r="N10" s="14" t="str">
        <f aca="false">IFERROR(SUMIFS('11_JMeter_Template'!$G$16:$G$515,'11_JMeter_Template'!$A$16:$A$515,A10)/COUNTIF('11_JMeter_Template'!$A$16:$A$515,A10),"")</f>
        <v/>
      </c>
      <c r="O10" s="14" t="str">
        <f aca="false">IFERROR(SUMIFS('11_JMeter_Template'!$H$16:$H$515,'11_JMeter_Template'!$A$16:$A$515,A10)/COUNTIF('11_JMeter_Template'!$A$16:$A$515,A10),"")</f>
        <v/>
      </c>
      <c r="P10" s="14" t="str">
        <f aca="false">IF(K10="","",K10-B10)</f>
        <v/>
      </c>
      <c r="Q10" s="14" t="str">
        <f aca="false">IF(L10="","",L10-C10)</f>
        <v/>
      </c>
    </row>
    <row r="11" customFormat="false" ht="13.5" hidden="false" customHeight="true" outlineLevel="0" collapsed="false">
      <c r="A11" s="12" t="n">
        <v>75</v>
      </c>
      <c r="B11" s="14" t="n">
        <v>2.21</v>
      </c>
      <c r="C11" s="14" t="n">
        <v>2.9</v>
      </c>
      <c r="D11" s="14" t="n">
        <v>61.8</v>
      </c>
      <c r="E11" s="15" t="n">
        <v>78</v>
      </c>
      <c r="F11" s="15" t="n">
        <v>1040</v>
      </c>
      <c r="G11" s="15" t="n">
        <f aca="false">100-C11</f>
        <v>97.1</v>
      </c>
      <c r="H11" s="14" t="n">
        <f aca="false">IFERROR(D11/E11,"")</f>
        <v>0.792307692307692</v>
      </c>
      <c r="I11" s="14" t="n">
        <f aca="false">IFERROR(F11/A11,"")</f>
        <v>13.8666666666667</v>
      </c>
      <c r="J11" s="12" t="s">
        <v>256</v>
      </c>
      <c r="K11" s="14" t="str">
        <f aca="false">IFERROR(SUMIFS('11_JMeter_Template'!$D$16:$D$515,'11_JMeter_Template'!$A$16:$A$515,A11)/SUMIFS('11_JMeter_Template'!$C$16:$C$515,'11_JMeter_Template'!$A$16:$A$515,A11)/1000,"")</f>
        <v/>
      </c>
      <c r="L11" s="14" t="str">
        <f aca="false">IFERROR(100*SUMIFS('11_JMeter_Template'!$E$16:$E$515,'11_JMeter_Template'!$A$16:$A$515,A11)/SUMIFS('11_JMeter_Template'!$C$16:$C$515,'11_JMeter_Template'!$A$16:$A$515,A11),"")</f>
        <v/>
      </c>
      <c r="M11" s="14" t="str">
        <f aca="false">IFERROR(SUMIFS('11_JMeter_Template'!$C$16:$C$515,'11_JMeter_Template'!$A$16:$A$515,A11)/SUMIFS('11_JMeter_Template'!$F$16:$F$515,'11_JMeter_Template'!$A$16:$A$515,A11),"")</f>
        <v/>
      </c>
      <c r="N11" s="14" t="str">
        <f aca="false">IFERROR(SUMIFS('11_JMeter_Template'!$G$16:$G$515,'11_JMeter_Template'!$A$16:$A$515,A11)/COUNTIF('11_JMeter_Template'!$A$16:$A$515,A11),"")</f>
        <v/>
      </c>
      <c r="O11" s="14" t="str">
        <f aca="false">IFERROR(SUMIFS('11_JMeter_Template'!$H$16:$H$515,'11_JMeter_Template'!$A$16:$A$515,A11)/COUNTIF('11_JMeter_Template'!$A$16:$A$515,A11),"")</f>
        <v/>
      </c>
      <c r="P11" s="14" t="str">
        <f aca="false">IF(K11="","",K11-B11)</f>
        <v/>
      </c>
      <c r="Q11" s="14" t="str">
        <f aca="false">IF(L11="","",L11-C11)</f>
        <v/>
      </c>
    </row>
    <row r="12" customFormat="false" ht="13.5" hidden="false" customHeight="true" outlineLevel="0" collapsed="false">
      <c r="A12" s="12" t="n">
        <v>100</v>
      </c>
      <c r="B12" s="14" t="n">
        <v>3.15</v>
      </c>
      <c r="C12" s="14" t="n">
        <v>4.7</v>
      </c>
      <c r="D12" s="14" t="n">
        <v>64.1</v>
      </c>
      <c r="E12" s="15" t="n">
        <v>88</v>
      </c>
      <c r="F12" s="15" t="n">
        <v>1190</v>
      </c>
      <c r="G12" s="15" t="n">
        <f aca="false">100-C12</f>
        <v>95.3</v>
      </c>
      <c r="H12" s="14" t="n">
        <f aca="false">IFERROR(D12/E12,"")</f>
        <v>0.728409090909091</v>
      </c>
      <c r="I12" s="14" t="n">
        <f aca="false">IFERROR(F12/A12,"")</f>
        <v>11.9</v>
      </c>
      <c r="J12" s="12" t="s">
        <v>256</v>
      </c>
      <c r="K12" s="14" t="str">
        <f aca="false">IFERROR(SUMIFS('11_JMeter_Template'!$D$16:$D$515,'11_JMeter_Template'!$A$16:$A$515,A12)/SUMIFS('11_JMeter_Template'!$C$16:$C$515,'11_JMeter_Template'!$A$16:$A$515,A12)/1000,"")</f>
        <v/>
      </c>
      <c r="L12" s="14" t="str">
        <f aca="false">IFERROR(100*SUMIFS('11_JMeter_Template'!$E$16:$E$515,'11_JMeter_Template'!$A$16:$A$515,A12)/SUMIFS('11_JMeter_Template'!$C$16:$C$515,'11_JMeter_Template'!$A$16:$A$515,A12),"")</f>
        <v/>
      </c>
      <c r="M12" s="14" t="str">
        <f aca="false">IFERROR(SUMIFS('11_JMeter_Template'!$C$16:$C$515,'11_JMeter_Template'!$A$16:$A$515,A12)/SUMIFS('11_JMeter_Template'!$F$16:$F$515,'11_JMeter_Template'!$A$16:$A$515,A12),"")</f>
        <v/>
      </c>
      <c r="N12" s="14" t="str">
        <f aca="false">IFERROR(SUMIFS('11_JMeter_Template'!$G$16:$G$515,'11_JMeter_Template'!$A$16:$A$515,A12)/COUNTIF('11_JMeter_Template'!$A$16:$A$515,A12),"")</f>
        <v/>
      </c>
      <c r="O12" s="14" t="str">
        <f aca="false">IFERROR(SUMIFS('11_JMeter_Template'!$H$16:$H$515,'11_JMeter_Template'!$A$16:$A$515,A12)/COUNTIF('11_JMeter_Template'!$A$16:$A$515,A12),"")</f>
        <v/>
      </c>
      <c r="P12" s="14" t="str">
        <f aca="false">IF(K12="","",K12-B12)</f>
        <v/>
      </c>
      <c r="Q12" s="14" t="str">
        <f aca="false">IF(L12="","",L12-C12)</f>
        <v/>
      </c>
    </row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>
      <c r="A15" s="17" t="s">
        <v>257</v>
      </c>
      <c r="B15" s="17" t="s">
        <v>258</v>
      </c>
      <c r="C15" s="17"/>
      <c r="D15" s="18" t="s">
        <v>259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customFormat="false" ht="13.5" hidden="false" customHeight="true" outlineLevel="0" collapsed="false">
      <c r="A16" s="11" t="s">
        <v>260</v>
      </c>
      <c r="B16" s="11" t="s">
        <v>261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customFormat="false" ht="13.5" hidden="false" customHeight="true" outlineLevel="0" collapsed="false">
      <c r="A17" s="12" t="s">
        <v>262</v>
      </c>
      <c r="B17" s="12" t="s">
        <v>263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customFormat="false" ht="13.5" hidden="false" customHeight="true" outlineLevel="0" collapsed="false">
      <c r="A18" s="12" t="s">
        <v>264</v>
      </c>
      <c r="B18" s="12" t="s">
        <v>265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customFormat="false" ht="13.5" hidden="false" customHeight="true" outlineLevel="0" collapsed="false">
      <c r="A19" s="12" t="s">
        <v>266</v>
      </c>
      <c r="B19" s="12" t="s">
        <v>267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Q2"/>
    <mergeCell ref="A3:Q3"/>
    <mergeCell ref="D15:Q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20"/>
    <col collapsed="false" customWidth="true" hidden="false" outlineLevel="0" max="6" min="6" style="0" width="38"/>
    <col collapsed="false" customWidth="true" hidden="false" outlineLevel="0" max="26" min="7" style="0" width="8.63"/>
  </cols>
  <sheetData>
    <row r="1" customFormat="false" ht="18.75" hidden="false" customHeight="true" outlineLevel="0" collapsed="false">
      <c r="A1" s="9" t="s">
        <v>268</v>
      </c>
      <c r="B1" s="9"/>
      <c r="C1" s="9"/>
      <c r="D1" s="9"/>
      <c r="E1" s="9"/>
      <c r="F1" s="9"/>
      <c r="G1" s="9"/>
      <c r="H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</row>
    <row r="3" customFormat="false" ht="21.75" hidden="false" customHeight="true" outlineLevel="0" collapsed="false">
      <c r="A3" s="10" t="s">
        <v>269</v>
      </c>
      <c r="B3" s="10"/>
      <c r="C3" s="10"/>
      <c r="D3" s="10"/>
      <c r="E3" s="10"/>
      <c r="F3" s="10"/>
      <c r="G3" s="10"/>
      <c r="H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270</v>
      </c>
      <c r="B5" s="11" t="s">
        <v>271</v>
      </c>
      <c r="C5" s="11" t="s">
        <v>245</v>
      </c>
      <c r="D5" s="11" t="s">
        <v>272</v>
      </c>
      <c r="E5" s="11" t="s">
        <v>273</v>
      </c>
      <c r="F5" s="11" t="s">
        <v>274</v>
      </c>
    </row>
    <row r="6" customFormat="false" ht="13.5" hidden="false" customHeight="true" outlineLevel="0" collapsed="false">
      <c r="A6" s="12" t="s">
        <v>144</v>
      </c>
      <c r="B6" s="14" t="n">
        <v>0.61</v>
      </c>
      <c r="C6" s="14" t="n">
        <v>99.6</v>
      </c>
      <c r="D6" s="14" t="n">
        <f aca="false">100-C6</f>
        <v>0.400000000000006</v>
      </c>
      <c r="E6" s="14" t="n">
        <f aca="false">(100-C6)*10</f>
        <v>4.00000000000006</v>
      </c>
      <c r="F6" s="12" t="s">
        <v>275</v>
      </c>
    </row>
    <row r="7" customFormat="false" ht="13.5" hidden="false" customHeight="true" outlineLevel="0" collapsed="false">
      <c r="A7" s="12" t="s">
        <v>276</v>
      </c>
      <c r="B7" s="14" t="n">
        <v>0.84</v>
      </c>
      <c r="C7" s="14" t="n">
        <v>99.2</v>
      </c>
      <c r="D7" s="14" t="n">
        <f aca="false">100-C7</f>
        <v>0.799999999999997</v>
      </c>
      <c r="E7" s="14" t="n">
        <f aca="false">(100-C7)*10</f>
        <v>7.99999999999997</v>
      </c>
      <c r="F7" s="12" t="s">
        <v>275</v>
      </c>
    </row>
    <row r="8" customFormat="false" ht="13.5" hidden="false" customHeight="true" outlineLevel="0" collapsed="false">
      <c r="A8" s="12" t="s">
        <v>277</v>
      </c>
      <c r="B8" s="14" t="n">
        <v>1.12</v>
      </c>
      <c r="C8" s="14" t="n">
        <v>98.7</v>
      </c>
      <c r="D8" s="14" t="n">
        <f aca="false">100-C8</f>
        <v>1.3</v>
      </c>
      <c r="E8" s="14" t="n">
        <f aca="false">(100-C8)*10</f>
        <v>13</v>
      </c>
      <c r="F8" s="12" t="s">
        <v>275</v>
      </c>
    </row>
    <row r="9" customFormat="false" ht="13.5" hidden="false" customHeight="true" outlineLevel="0" collapsed="false">
      <c r="A9" s="12" t="s">
        <v>278</v>
      </c>
      <c r="B9" s="14" t="n">
        <v>1.38</v>
      </c>
      <c r="C9" s="14" t="n">
        <v>98.1</v>
      </c>
      <c r="D9" s="14" t="n">
        <f aca="false">100-C9</f>
        <v>1.90000000000001</v>
      </c>
      <c r="E9" s="14" t="n">
        <f aca="false">(100-C9)*10</f>
        <v>19.0000000000001</v>
      </c>
      <c r="F9" s="12" t="s">
        <v>275</v>
      </c>
    </row>
    <row r="10" customFormat="false" ht="13.5" hidden="false" customHeight="true" outlineLevel="0" collapsed="false">
      <c r="A10" s="12" t="s">
        <v>279</v>
      </c>
      <c r="B10" s="14" t="n">
        <v>0.93</v>
      </c>
      <c r="C10" s="14" t="n">
        <v>99</v>
      </c>
      <c r="D10" s="14" t="n">
        <f aca="false">100-C10</f>
        <v>1</v>
      </c>
      <c r="E10" s="14" t="n">
        <f aca="false">(100-C10)*10</f>
        <v>10</v>
      </c>
      <c r="F10" s="12" t="s">
        <v>275</v>
      </c>
    </row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>
      <c r="A13" s="16" t="s">
        <v>280</v>
      </c>
      <c r="B13" s="16"/>
      <c r="C13" s="16"/>
      <c r="D13" s="16"/>
      <c r="E13" s="16"/>
      <c r="F13" s="16"/>
    </row>
    <row r="14" customFormat="false" ht="13.5" hidden="false" customHeight="true" outlineLevel="0" collapsed="false">
      <c r="A14" s="16"/>
      <c r="B14" s="16"/>
      <c r="C14" s="16"/>
      <c r="D14" s="16"/>
      <c r="E14" s="16"/>
      <c r="F14" s="16"/>
    </row>
    <row r="15" customFormat="false" ht="13.5" hidden="false" customHeight="true" outlineLevel="0" collapsed="false">
      <c r="A15" s="16"/>
      <c r="B15" s="16"/>
      <c r="C15" s="16"/>
      <c r="D15" s="16"/>
      <c r="E15" s="16"/>
      <c r="F15" s="16"/>
    </row>
    <row r="16" customFormat="false" ht="13.5" hidden="false" customHeight="true" outlineLevel="0" collapsed="false">
      <c r="A16" s="16"/>
      <c r="B16" s="16"/>
      <c r="C16" s="16"/>
      <c r="D16" s="16"/>
      <c r="E16" s="16"/>
      <c r="F16" s="16"/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H2"/>
    <mergeCell ref="A3:H3"/>
    <mergeCell ref="A13:F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8" min="3" style="0" width="17"/>
    <col collapsed="false" customWidth="true" hidden="false" outlineLevel="0" max="26" min="9" style="0" width="8.63"/>
  </cols>
  <sheetData>
    <row r="1" customFormat="false" ht="18.75" hidden="false" customHeight="true" outlineLevel="0" collapsed="false">
      <c r="A1" s="9" t="s">
        <v>281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21.75" hidden="false" customHeight="true" outlineLevel="0" collapsed="false">
      <c r="A3" s="10" t="s">
        <v>282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283</v>
      </c>
      <c r="B5" s="11" t="s">
        <v>284</v>
      </c>
      <c r="C5" s="11" t="s">
        <v>285</v>
      </c>
      <c r="D5" s="11" t="s">
        <v>286</v>
      </c>
      <c r="E5" s="11" t="s">
        <v>287</v>
      </c>
      <c r="F5" s="11" t="s">
        <v>288</v>
      </c>
      <c r="G5" s="11" t="s">
        <v>289</v>
      </c>
      <c r="H5" s="11" t="s">
        <v>290</v>
      </c>
    </row>
    <row r="6" customFormat="false" ht="13.5" hidden="false" customHeight="true" outlineLevel="0" collapsed="false">
      <c r="A6" s="12" t="s">
        <v>291</v>
      </c>
      <c r="B6" s="12" t="s">
        <v>292</v>
      </c>
      <c r="C6" s="12" t="n">
        <v>60</v>
      </c>
      <c r="D6" s="12" t="n">
        <v>30</v>
      </c>
      <c r="E6" s="12" t="n">
        <v>65</v>
      </c>
      <c r="F6" s="12" t="n">
        <f aca="false">MAX(C6:E6)</f>
        <v>65</v>
      </c>
      <c r="G6" s="12" t="str">
        <f aca="false">INDEX($C$5:$E$5,1,MATCH(F6,C6:E6,0))</f>
        <v>T5</v>
      </c>
      <c r="H6" s="12" t="n">
        <f aca="false">MAX(C6:E6)-MIN(C6:E6)</f>
        <v>35</v>
      </c>
    </row>
    <row r="7" customFormat="false" ht="13.5" hidden="false" customHeight="true" outlineLevel="0" collapsed="false">
      <c r="A7" s="12" t="s">
        <v>293</v>
      </c>
      <c r="B7" s="12" t="s">
        <v>294</v>
      </c>
      <c r="C7" s="12" t="n">
        <v>75</v>
      </c>
      <c r="D7" s="12" t="n">
        <v>40</v>
      </c>
      <c r="E7" s="12" t="n">
        <v>72</v>
      </c>
      <c r="F7" s="12" t="n">
        <f aca="false">MAX(C7:E7)</f>
        <v>75</v>
      </c>
      <c r="G7" s="12" t="str">
        <f aca="false">INDEX($C$5:$E$5,1,MATCH(F7,C7:E7,0))</f>
        <v>GPT-2 small</v>
      </c>
      <c r="H7" s="12" t="n">
        <f aca="false">MAX(C7:E7)-MIN(C7:E7)</f>
        <v>35</v>
      </c>
    </row>
    <row r="8" customFormat="false" ht="13.5" hidden="false" customHeight="true" outlineLevel="0" collapsed="false">
      <c r="A8" s="12" t="s">
        <v>295</v>
      </c>
      <c r="B8" s="12" t="s">
        <v>294</v>
      </c>
      <c r="C8" s="12" t="n">
        <v>90</v>
      </c>
      <c r="D8" s="12" t="n">
        <v>60</v>
      </c>
      <c r="E8" s="12" t="n">
        <v>95</v>
      </c>
      <c r="F8" s="12" t="n">
        <f aca="false">MAX(C8:E8)</f>
        <v>95</v>
      </c>
      <c r="G8" s="12" t="str">
        <f aca="false">INDEX($C$5:$E$5,1,MATCH(F8,C8:E8,0))</f>
        <v>T5</v>
      </c>
      <c r="H8" s="12" t="n">
        <f aca="false">MAX(C8:E8)-MIN(C8:E8)</f>
        <v>35</v>
      </c>
    </row>
    <row r="9" customFormat="false" ht="13.5" hidden="false" customHeight="true" outlineLevel="0" collapsed="false">
      <c r="A9" s="12" t="s">
        <v>296</v>
      </c>
      <c r="B9" s="12" t="s">
        <v>292</v>
      </c>
      <c r="C9" s="12" t="n">
        <v>40</v>
      </c>
      <c r="D9" s="12" t="n">
        <v>20</v>
      </c>
      <c r="E9" s="12" t="n">
        <v>56</v>
      </c>
      <c r="F9" s="12" t="n">
        <f aca="false">MAX(C9:E9)</f>
        <v>56</v>
      </c>
      <c r="G9" s="12" t="str">
        <f aca="false">INDEX($C$5:$E$5,1,MATCH(F9,C9:E9,0))</f>
        <v>T5</v>
      </c>
      <c r="H9" s="12" t="n">
        <f aca="false">MAX(C9:E9)-MIN(C9:E9)</f>
        <v>36</v>
      </c>
    </row>
    <row r="10" customFormat="false" ht="13.5" hidden="false" customHeight="true" outlineLevel="0" collapsed="false">
      <c r="A10" s="12" t="s">
        <v>297</v>
      </c>
      <c r="B10" s="12" t="s">
        <v>292</v>
      </c>
      <c r="C10" s="12" t="n">
        <v>55</v>
      </c>
      <c r="D10" s="12" t="n">
        <v>25</v>
      </c>
      <c r="E10" s="12" t="n">
        <v>65</v>
      </c>
      <c r="F10" s="12" t="n">
        <f aca="false">MAX(C10:E10)</f>
        <v>65</v>
      </c>
      <c r="G10" s="12" t="str">
        <f aca="false">INDEX($C$5:$E$5,1,MATCH(F10,C10:E10,0))</f>
        <v>T5</v>
      </c>
      <c r="H10" s="12" t="n">
        <f aca="false">MAX(C10:E10)-MIN(C10:E10)</f>
        <v>40</v>
      </c>
    </row>
    <row r="11" customFormat="false" ht="13.5" hidden="false" customHeight="true" outlineLevel="0" collapsed="false">
      <c r="A11" s="12" t="s">
        <v>298</v>
      </c>
      <c r="B11" s="12" t="s">
        <v>292</v>
      </c>
      <c r="C11" s="12" t="n">
        <v>60</v>
      </c>
      <c r="D11" s="12" t="n">
        <v>35</v>
      </c>
      <c r="E11" s="12" t="n">
        <v>72</v>
      </c>
      <c r="F11" s="12" t="n">
        <f aca="false">MAX(C11:E11)</f>
        <v>72</v>
      </c>
      <c r="G11" s="12" t="str">
        <f aca="false">INDEX($C$5:$E$5,1,MATCH(F11,C11:E11,0))</f>
        <v>T5</v>
      </c>
      <c r="H11" s="12" t="n">
        <f aca="false">MAX(C11:E11)-MIN(C11:E11)</f>
        <v>37</v>
      </c>
    </row>
    <row r="12" customFormat="false" ht="13.5" hidden="false" customHeight="true" outlineLevel="0" collapsed="false">
      <c r="A12" s="12" t="s">
        <v>299</v>
      </c>
      <c r="B12" s="12" t="s">
        <v>292</v>
      </c>
      <c r="C12" s="12" t="n">
        <v>70</v>
      </c>
      <c r="D12" s="12" t="n">
        <v>55</v>
      </c>
      <c r="E12" s="12" t="n">
        <v>71</v>
      </c>
      <c r="F12" s="12" t="n">
        <f aca="false">MAX(C12:E12)</f>
        <v>71</v>
      </c>
      <c r="G12" s="12" t="str">
        <f aca="false">INDEX($C$5:$E$5,1,MATCH(F12,C12:E12,0))</f>
        <v>T5</v>
      </c>
      <c r="H12" s="12" t="n">
        <f aca="false">MAX(C12:E12)-MIN(C12:E12)</f>
        <v>16</v>
      </c>
    </row>
    <row r="13" customFormat="false" ht="13.5" hidden="false" customHeight="true" outlineLevel="0" collapsed="false">
      <c r="A13" s="12" t="s">
        <v>300</v>
      </c>
      <c r="B13" s="12"/>
      <c r="C13" s="12" t="n">
        <f aca="false">SUM(C6:C12)</f>
        <v>450</v>
      </c>
      <c r="D13" s="12" t="n">
        <f aca="false">SUM(D6:D12)</f>
        <v>265</v>
      </c>
      <c r="E13" s="12" t="n">
        <f aca="false">SUM(E6:E12)</f>
        <v>496</v>
      </c>
      <c r="F13" s="12"/>
      <c r="G13" s="12"/>
      <c r="H13" s="12"/>
    </row>
    <row r="14" customFormat="false" ht="13.5" hidden="false" customHeight="true" outlineLevel="0" collapsed="false">
      <c r="A14" s="12" t="s">
        <v>301</v>
      </c>
      <c r="B14" s="12"/>
      <c r="C14" s="14" t="n">
        <f aca="false">100*C13/700</f>
        <v>64.2857142857143</v>
      </c>
      <c r="D14" s="14" t="n">
        <f aca="false">100*D13/700</f>
        <v>37.8571428571429</v>
      </c>
      <c r="E14" s="14" t="n">
        <f aca="false">100*E13/700</f>
        <v>70.8571428571429</v>
      </c>
      <c r="F14" s="12"/>
      <c r="G14" s="12"/>
      <c r="H14" s="12"/>
    </row>
    <row r="15" customFormat="false" ht="13.5" hidden="false" customHeight="true" outlineLevel="0" collapsed="false">
      <c r="A15" s="12" t="s">
        <v>302</v>
      </c>
      <c r="B15" s="12"/>
      <c r="C15" s="12" t="e">
        <f aca="false">_xludf.rank.eq(C13,$C$13:$E$13,0)</f>
        <v>#NAME?</v>
      </c>
      <c r="D15" s="12" t="e">
        <f aca="false">_xludf.rank.eq(D13,$C$13:$E$13,0)</f>
        <v>#NAME?</v>
      </c>
      <c r="E15" s="12" t="e">
        <f aca="false">_xludf.rank.eq(E13,$C$13:$E$13,0)</f>
        <v>#NAME?</v>
      </c>
      <c r="F15" s="12"/>
      <c r="G15" s="12"/>
      <c r="H15" s="12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>
      <c r="A18" s="16" t="s">
        <v>303</v>
      </c>
      <c r="B18" s="16"/>
      <c r="C18" s="16"/>
      <c r="D18" s="16"/>
      <c r="E18" s="16"/>
      <c r="F18" s="16"/>
      <c r="G18" s="16"/>
      <c r="H18" s="16"/>
    </row>
    <row r="19" customFormat="false" ht="13.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</row>
    <row r="20" customFormat="false" ht="13.5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</row>
    <row r="21" customFormat="false" ht="13.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</row>
    <row r="22" customFormat="false" ht="13.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</row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3">
    <mergeCell ref="A1:K2"/>
    <mergeCell ref="A3:K3"/>
    <mergeCell ref="A18:H22"/>
  </mergeCells>
  <conditionalFormatting sqref="C6:E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28"/>
    <col collapsed="false" customWidth="true" hidden="false" outlineLevel="0" max="26" min="12" style="0" width="8.63"/>
  </cols>
  <sheetData>
    <row r="1" customFormat="false" ht="18.75" hidden="false" customHeight="true" outlineLevel="0" collapsed="false">
      <c r="A1" s="9" t="s">
        <v>304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customFormat="false" ht="21.75" hidden="false" customHeight="true" outlineLevel="0" collapsed="false">
      <c r="A3" s="10" t="s">
        <v>305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135</v>
      </c>
      <c r="B5" s="11" t="s">
        <v>306</v>
      </c>
      <c r="C5" s="11" t="s">
        <v>307</v>
      </c>
      <c r="D5" s="11" t="s">
        <v>172</v>
      </c>
      <c r="E5" s="11" t="s">
        <v>308</v>
      </c>
      <c r="F5" s="11" t="s">
        <v>309</v>
      </c>
      <c r="G5" s="11" t="s">
        <v>310</v>
      </c>
      <c r="H5" s="11" t="s">
        <v>311</v>
      </c>
      <c r="I5" s="11" t="s">
        <v>312</v>
      </c>
      <c r="J5" s="11" t="s">
        <v>313</v>
      </c>
      <c r="K5" s="11" t="s">
        <v>314</v>
      </c>
    </row>
    <row r="6" customFormat="false" ht="13.5" hidden="false" customHeight="true" outlineLevel="0" collapsed="false">
      <c r="A6" s="12" t="s">
        <v>315</v>
      </c>
      <c r="B6" s="12" t="s">
        <v>316</v>
      </c>
      <c r="C6" s="12" t="s">
        <v>317</v>
      </c>
      <c r="D6" s="12" t="s">
        <v>318</v>
      </c>
      <c r="E6" s="12" t="s">
        <v>319</v>
      </c>
      <c r="F6" s="12" t="s">
        <v>320</v>
      </c>
      <c r="G6" s="12" t="s">
        <v>321</v>
      </c>
      <c r="H6" s="12" t="s">
        <v>322</v>
      </c>
      <c r="I6" s="15" t="n">
        <v>1</v>
      </c>
      <c r="J6" s="12" t="s">
        <v>323</v>
      </c>
      <c r="K6" s="12"/>
    </row>
    <row r="7" customFormat="false" ht="13.5" hidden="false" customHeight="true" outlineLevel="0" collapsed="false">
      <c r="A7" s="12" t="s">
        <v>324</v>
      </c>
      <c r="B7" s="12" t="s">
        <v>316</v>
      </c>
      <c r="C7" s="12" t="s">
        <v>325</v>
      </c>
      <c r="D7" s="12" t="s">
        <v>326</v>
      </c>
      <c r="E7" s="12" t="s">
        <v>327</v>
      </c>
      <c r="F7" s="12" t="s">
        <v>328</v>
      </c>
      <c r="G7" s="12" t="s">
        <v>321</v>
      </c>
      <c r="H7" s="12" t="s">
        <v>322</v>
      </c>
      <c r="I7" s="15" t="n">
        <v>1</v>
      </c>
      <c r="J7" s="12" t="s">
        <v>323</v>
      </c>
      <c r="K7" s="12"/>
    </row>
    <row r="8" customFormat="false" ht="13.5" hidden="false" customHeight="true" outlineLevel="0" collapsed="false">
      <c r="A8" s="12" t="s">
        <v>329</v>
      </c>
      <c r="B8" s="12" t="s">
        <v>316</v>
      </c>
      <c r="C8" s="12" t="s">
        <v>330</v>
      </c>
      <c r="D8" s="12" t="s">
        <v>331</v>
      </c>
      <c r="E8" s="12" t="s">
        <v>332</v>
      </c>
      <c r="F8" s="12" t="s">
        <v>333</v>
      </c>
      <c r="G8" s="12" t="s">
        <v>321</v>
      </c>
      <c r="H8" s="12" t="s">
        <v>322</v>
      </c>
      <c r="I8" s="15" t="n">
        <v>1</v>
      </c>
      <c r="J8" s="12" t="s">
        <v>323</v>
      </c>
      <c r="K8" s="12"/>
    </row>
    <row r="9" customFormat="false" ht="13.5" hidden="false" customHeight="true" outlineLevel="0" collapsed="false">
      <c r="A9" s="12" t="s">
        <v>334</v>
      </c>
      <c r="B9" s="12" t="s">
        <v>316</v>
      </c>
      <c r="C9" s="12" t="s">
        <v>335</v>
      </c>
      <c r="D9" s="12" t="s">
        <v>336</v>
      </c>
      <c r="E9" s="12" t="s">
        <v>327</v>
      </c>
      <c r="F9" s="12" t="s">
        <v>337</v>
      </c>
      <c r="G9" s="12" t="s">
        <v>321</v>
      </c>
      <c r="H9" s="12" t="s">
        <v>322</v>
      </c>
      <c r="I9" s="15" t="n">
        <v>1</v>
      </c>
      <c r="J9" s="12" t="s">
        <v>323</v>
      </c>
      <c r="K9" s="12"/>
    </row>
    <row r="10" customFormat="false" ht="13.5" hidden="false" customHeight="true" outlineLevel="0" collapsed="false">
      <c r="A10" s="12" t="s">
        <v>338</v>
      </c>
      <c r="B10" s="12" t="s">
        <v>316</v>
      </c>
      <c r="C10" s="12" t="s">
        <v>339</v>
      </c>
      <c r="D10" s="12" t="s">
        <v>336</v>
      </c>
      <c r="E10" s="12" t="s">
        <v>340</v>
      </c>
      <c r="F10" s="12" t="s">
        <v>341</v>
      </c>
      <c r="G10" s="12" t="s">
        <v>321</v>
      </c>
      <c r="H10" s="12" t="s">
        <v>322</v>
      </c>
      <c r="I10" s="15" t="n">
        <v>1</v>
      </c>
      <c r="J10" s="12" t="s">
        <v>323</v>
      </c>
      <c r="K10" s="12"/>
    </row>
    <row r="11" customFormat="false" ht="13.5" hidden="false" customHeight="true" outlineLevel="0" collapsed="false">
      <c r="A11" s="12" t="s">
        <v>342</v>
      </c>
      <c r="B11" s="12" t="s">
        <v>316</v>
      </c>
      <c r="C11" s="12" t="s">
        <v>343</v>
      </c>
      <c r="D11" s="12" t="s">
        <v>344</v>
      </c>
      <c r="E11" s="12" t="s">
        <v>345</v>
      </c>
      <c r="F11" s="12" t="s">
        <v>346</v>
      </c>
      <c r="G11" s="12" t="s">
        <v>321</v>
      </c>
      <c r="H11" s="12" t="s">
        <v>322</v>
      </c>
      <c r="I11" s="15" t="n">
        <v>1</v>
      </c>
      <c r="J11" s="12" t="s">
        <v>323</v>
      </c>
      <c r="K11" s="12"/>
    </row>
    <row r="12" customFormat="false" ht="13.5" hidden="false" customHeight="true" outlineLevel="0" collapsed="false">
      <c r="A12" s="12" t="s">
        <v>347</v>
      </c>
      <c r="B12" s="12" t="s">
        <v>316</v>
      </c>
      <c r="C12" s="12" t="s">
        <v>348</v>
      </c>
      <c r="D12" s="12" t="s">
        <v>349</v>
      </c>
      <c r="E12" s="12" t="s">
        <v>350</v>
      </c>
      <c r="F12" s="12" t="s">
        <v>351</v>
      </c>
      <c r="G12" s="12" t="s">
        <v>321</v>
      </c>
      <c r="H12" s="12" t="s">
        <v>322</v>
      </c>
      <c r="I12" s="15" t="n">
        <v>1</v>
      </c>
      <c r="J12" s="12" t="s">
        <v>323</v>
      </c>
      <c r="K12" s="12"/>
    </row>
    <row r="13" customFormat="false" ht="13.5" hidden="false" customHeight="true" outlineLevel="0" collapsed="false">
      <c r="A13" s="12" t="s">
        <v>352</v>
      </c>
      <c r="B13" s="12" t="s">
        <v>316</v>
      </c>
      <c r="C13" s="12" t="s">
        <v>353</v>
      </c>
      <c r="D13" s="12" t="s">
        <v>354</v>
      </c>
      <c r="E13" s="12" t="s">
        <v>319</v>
      </c>
      <c r="F13" s="12" t="s">
        <v>355</v>
      </c>
      <c r="G13" s="12" t="s">
        <v>356</v>
      </c>
      <c r="H13" s="12" t="s">
        <v>357</v>
      </c>
      <c r="I13" s="15" t="n">
        <v>0.5</v>
      </c>
      <c r="J13" s="12" t="s">
        <v>357</v>
      </c>
      <c r="K13" s="12"/>
    </row>
    <row r="14" customFormat="false" ht="13.5" hidden="false" customHeight="true" outlineLevel="0" collapsed="false">
      <c r="A14" s="12" t="s">
        <v>358</v>
      </c>
      <c r="B14" s="12" t="s">
        <v>316</v>
      </c>
      <c r="C14" s="12" t="s">
        <v>359</v>
      </c>
      <c r="D14" s="12" t="s">
        <v>360</v>
      </c>
      <c r="E14" s="12" t="s">
        <v>319</v>
      </c>
      <c r="F14" s="12" t="s">
        <v>361</v>
      </c>
      <c r="G14" s="12" t="s">
        <v>321</v>
      </c>
      <c r="H14" s="12" t="s">
        <v>322</v>
      </c>
      <c r="I14" s="15" t="n">
        <v>1</v>
      </c>
      <c r="J14" s="12" t="s">
        <v>323</v>
      </c>
      <c r="K14" s="12"/>
    </row>
    <row r="15" customFormat="false" ht="13.5" hidden="false" customHeight="true" outlineLevel="0" collapsed="false">
      <c r="A15" s="12" t="s">
        <v>362</v>
      </c>
      <c r="B15" s="12" t="s">
        <v>316</v>
      </c>
      <c r="C15" s="12" t="s">
        <v>363</v>
      </c>
      <c r="D15" s="12" t="s">
        <v>180</v>
      </c>
      <c r="E15" s="12" t="s">
        <v>364</v>
      </c>
      <c r="F15" s="12" t="s">
        <v>365</v>
      </c>
      <c r="G15" s="12" t="s">
        <v>321</v>
      </c>
      <c r="H15" s="12" t="s">
        <v>322</v>
      </c>
      <c r="I15" s="15" t="n">
        <v>1</v>
      </c>
      <c r="J15" s="12" t="s">
        <v>323</v>
      </c>
      <c r="K15" s="12"/>
    </row>
    <row r="16" customFormat="false" ht="13.5" hidden="false" customHeight="true" outlineLevel="0" collapsed="false">
      <c r="A16" s="12" t="s">
        <v>366</v>
      </c>
      <c r="B16" s="12" t="s">
        <v>316</v>
      </c>
      <c r="C16" s="12" t="s">
        <v>367</v>
      </c>
      <c r="D16" s="12" t="s">
        <v>194</v>
      </c>
      <c r="E16" s="12" t="s">
        <v>345</v>
      </c>
      <c r="F16" s="12" t="s">
        <v>368</v>
      </c>
      <c r="G16" s="12" t="s">
        <v>321</v>
      </c>
      <c r="H16" s="12" t="s">
        <v>322</v>
      </c>
      <c r="I16" s="15" t="n">
        <v>1</v>
      </c>
      <c r="J16" s="12" t="s">
        <v>323</v>
      </c>
      <c r="K16" s="12"/>
    </row>
    <row r="17" customFormat="false" ht="13.5" hidden="false" customHeight="true" outlineLevel="0" collapsed="false">
      <c r="A17" s="12" t="s">
        <v>369</v>
      </c>
      <c r="B17" s="12" t="s">
        <v>316</v>
      </c>
      <c r="C17" s="12" t="s">
        <v>370</v>
      </c>
      <c r="D17" s="12" t="s">
        <v>371</v>
      </c>
      <c r="E17" s="12" t="s">
        <v>340</v>
      </c>
      <c r="F17" s="12" t="s">
        <v>372</v>
      </c>
      <c r="G17" s="12" t="s">
        <v>321</v>
      </c>
      <c r="H17" s="12" t="s">
        <v>322</v>
      </c>
      <c r="I17" s="15" t="n">
        <v>1</v>
      </c>
      <c r="J17" s="12" t="s">
        <v>323</v>
      </c>
      <c r="K17" s="12"/>
    </row>
    <row r="18" customFormat="false" ht="13.5" hidden="false" customHeight="true" outlineLevel="0" collapsed="false">
      <c r="A18" s="12" t="s">
        <v>373</v>
      </c>
      <c r="B18" s="12" t="s">
        <v>316</v>
      </c>
      <c r="C18" s="12" t="s">
        <v>374</v>
      </c>
      <c r="D18" s="12" t="s">
        <v>375</v>
      </c>
      <c r="E18" s="12" t="s">
        <v>376</v>
      </c>
      <c r="F18" s="12" t="s">
        <v>377</v>
      </c>
      <c r="G18" s="12" t="s">
        <v>321</v>
      </c>
      <c r="H18" s="12" t="s">
        <v>322</v>
      </c>
      <c r="I18" s="15" t="n">
        <v>1</v>
      </c>
      <c r="J18" s="12" t="s">
        <v>323</v>
      </c>
      <c r="K18" s="12"/>
    </row>
    <row r="19" customFormat="false" ht="13.5" hidden="false" customHeight="true" outlineLevel="0" collapsed="false">
      <c r="A19" s="12" t="s">
        <v>378</v>
      </c>
      <c r="B19" s="12" t="s">
        <v>316</v>
      </c>
      <c r="C19" s="12" t="s">
        <v>379</v>
      </c>
      <c r="D19" s="12" t="s">
        <v>380</v>
      </c>
      <c r="E19" s="12" t="s">
        <v>381</v>
      </c>
      <c r="F19" s="12" t="s">
        <v>382</v>
      </c>
      <c r="G19" s="12" t="s">
        <v>383</v>
      </c>
      <c r="H19" s="12" t="s">
        <v>322</v>
      </c>
      <c r="I19" s="15" t="n">
        <v>1</v>
      </c>
      <c r="J19" s="12" t="s">
        <v>323</v>
      </c>
      <c r="K19" s="12"/>
    </row>
    <row r="20" customFormat="false" ht="13.5" hidden="false" customHeight="true" outlineLevel="0" collapsed="false">
      <c r="A20" s="12" t="s">
        <v>384</v>
      </c>
      <c r="B20" s="12" t="s">
        <v>316</v>
      </c>
      <c r="C20" s="12" t="s">
        <v>385</v>
      </c>
      <c r="D20" s="12" t="s">
        <v>386</v>
      </c>
      <c r="E20" s="12" t="s">
        <v>387</v>
      </c>
      <c r="F20" s="12" t="s">
        <v>388</v>
      </c>
      <c r="G20" s="12" t="s">
        <v>389</v>
      </c>
      <c r="H20" s="12" t="s">
        <v>389</v>
      </c>
      <c r="I20" s="15" t="n">
        <v>0</v>
      </c>
      <c r="J20" s="12" t="s">
        <v>390</v>
      </c>
      <c r="K20" s="12"/>
    </row>
    <row r="21" customFormat="false" ht="13.5" hidden="false" customHeight="true" outlineLevel="0" collapsed="false">
      <c r="A21" s="12" t="s">
        <v>391</v>
      </c>
      <c r="B21" s="12" t="s">
        <v>392</v>
      </c>
      <c r="C21" s="12" t="s">
        <v>393</v>
      </c>
      <c r="D21" s="12" t="s">
        <v>394</v>
      </c>
      <c r="E21" s="12" t="s">
        <v>395</v>
      </c>
      <c r="F21" s="12" t="s">
        <v>396</v>
      </c>
      <c r="G21" s="12" t="s">
        <v>321</v>
      </c>
      <c r="H21" s="12" t="s">
        <v>322</v>
      </c>
      <c r="I21" s="15" t="n">
        <v>1</v>
      </c>
      <c r="J21" s="12" t="s">
        <v>323</v>
      </c>
      <c r="K21" s="12"/>
    </row>
    <row r="22" customFormat="false" ht="13.5" hidden="false" customHeight="true" outlineLevel="0" collapsed="false">
      <c r="A22" s="12" t="s">
        <v>397</v>
      </c>
      <c r="B22" s="12" t="s">
        <v>392</v>
      </c>
      <c r="C22" s="12" t="s">
        <v>398</v>
      </c>
      <c r="D22" s="12" t="s">
        <v>394</v>
      </c>
      <c r="E22" s="12" t="s">
        <v>395</v>
      </c>
      <c r="F22" s="12" t="s">
        <v>399</v>
      </c>
      <c r="G22" s="12" t="s">
        <v>321</v>
      </c>
      <c r="H22" s="12" t="s">
        <v>322</v>
      </c>
      <c r="I22" s="15" t="n">
        <v>1</v>
      </c>
      <c r="J22" s="12" t="s">
        <v>323</v>
      </c>
      <c r="K22" s="12"/>
    </row>
    <row r="23" customFormat="false" ht="13.5" hidden="false" customHeight="true" outlineLevel="0" collapsed="false">
      <c r="A23" s="12" t="s">
        <v>400</v>
      </c>
      <c r="B23" s="12" t="s">
        <v>392</v>
      </c>
      <c r="C23" s="12" t="s">
        <v>401</v>
      </c>
      <c r="D23" s="12" t="s">
        <v>402</v>
      </c>
      <c r="E23" s="12" t="s">
        <v>387</v>
      </c>
      <c r="F23" s="12" t="s">
        <v>403</v>
      </c>
      <c r="G23" s="12" t="s">
        <v>321</v>
      </c>
      <c r="H23" s="12" t="s">
        <v>322</v>
      </c>
      <c r="I23" s="15" t="n">
        <v>1</v>
      </c>
      <c r="J23" s="12" t="s">
        <v>323</v>
      </c>
      <c r="K23" s="12"/>
    </row>
    <row r="24" customFormat="false" ht="13.5" hidden="false" customHeight="true" outlineLevel="0" collapsed="false">
      <c r="A24" s="12" t="s">
        <v>404</v>
      </c>
      <c r="B24" s="12" t="s">
        <v>392</v>
      </c>
      <c r="C24" s="12" t="s">
        <v>405</v>
      </c>
      <c r="D24" s="12" t="s">
        <v>406</v>
      </c>
      <c r="E24" s="12" t="s">
        <v>407</v>
      </c>
      <c r="F24" s="12" t="s">
        <v>408</v>
      </c>
      <c r="G24" s="12" t="s">
        <v>321</v>
      </c>
      <c r="H24" s="12" t="s">
        <v>322</v>
      </c>
      <c r="I24" s="15" t="n">
        <v>1</v>
      </c>
      <c r="J24" s="12" t="s">
        <v>323</v>
      </c>
      <c r="K24" s="12"/>
    </row>
    <row r="25" customFormat="false" ht="13.5" hidden="false" customHeight="true" outlineLevel="0" collapsed="false">
      <c r="A25" s="12" t="s">
        <v>409</v>
      </c>
      <c r="B25" s="12" t="s">
        <v>392</v>
      </c>
      <c r="C25" s="12" t="s">
        <v>410</v>
      </c>
      <c r="D25" s="12" t="s">
        <v>411</v>
      </c>
      <c r="E25" s="12" t="s">
        <v>407</v>
      </c>
      <c r="F25" s="12" t="s">
        <v>412</v>
      </c>
      <c r="G25" s="12" t="s">
        <v>413</v>
      </c>
      <c r="H25" s="12" t="s">
        <v>414</v>
      </c>
      <c r="I25" s="15" t="n">
        <v>0</v>
      </c>
      <c r="J25" s="12" t="s">
        <v>390</v>
      </c>
      <c r="K25" s="12" t="s">
        <v>415</v>
      </c>
    </row>
    <row r="26" customFormat="false" ht="13.5" hidden="false" customHeight="true" outlineLevel="0" collapsed="false">
      <c r="A26" s="12" t="s">
        <v>416</v>
      </c>
      <c r="B26" s="12" t="s">
        <v>392</v>
      </c>
      <c r="C26" s="12" t="s">
        <v>417</v>
      </c>
      <c r="D26" s="12" t="s">
        <v>418</v>
      </c>
      <c r="E26" s="12" t="s">
        <v>407</v>
      </c>
      <c r="F26" s="12" t="s">
        <v>419</v>
      </c>
      <c r="G26" s="12" t="s">
        <v>321</v>
      </c>
      <c r="H26" s="12" t="s">
        <v>322</v>
      </c>
      <c r="I26" s="15" t="n">
        <v>1</v>
      </c>
      <c r="J26" s="12" t="s">
        <v>323</v>
      </c>
      <c r="K26" s="12"/>
    </row>
    <row r="27" customFormat="false" ht="13.5" hidden="false" customHeight="true" outlineLevel="0" collapsed="false">
      <c r="A27" s="12" t="s">
        <v>420</v>
      </c>
      <c r="B27" s="12" t="s">
        <v>392</v>
      </c>
      <c r="C27" s="12" t="s">
        <v>421</v>
      </c>
      <c r="D27" s="12" t="s">
        <v>422</v>
      </c>
      <c r="E27" s="12" t="s">
        <v>423</v>
      </c>
      <c r="F27" s="12" t="s">
        <v>424</v>
      </c>
      <c r="G27" s="12" t="s">
        <v>425</v>
      </c>
      <c r="H27" s="12" t="s">
        <v>322</v>
      </c>
      <c r="I27" s="15" t="n">
        <v>1</v>
      </c>
      <c r="J27" s="12" t="s">
        <v>323</v>
      </c>
      <c r="K27" s="12"/>
    </row>
    <row r="28" customFormat="false" ht="13.5" hidden="false" customHeight="true" outlineLevel="0" collapsed="false">
      <c r="A28" s="12" t="s">
        <v>426</v>
      </c>
      <c r="B28" s="12" t="s">
        <v>392</v>
      </c>
      <c r="C28" s="12" t="s">
        <v>427</v>
      </c>
      <c r="D28" s="12" t="s">
        <v>422</v>
      </c>
      <c r="E28" s="12" t="s">
        <v>364</v>
      </c>
      <c r="F28" s="12" t="s">
        <v>428</v>
      </c>
      <c r="G28" s="12" t="s">
        <v>321</v>
      </c>
      <c r="H28" s="12" t="s">
        <v>322</v>
      </c>
      <c r="I28" s="15" t="n">
        <v>1</v>
      </c>
      <c r="J28" s="12" t="s">
        <v>323</v>
      </c>
      <c r="K28" s="12"/>
    </row>
    <row r="29" customFormat="false" ht="13.5" hidden="false" customHeight="true" outlineLevel="0" collapsed="false">
      <c r="A29" s="12" t="s">
        <v>429</v>
      </c>
      <c r="B29" s="12" t="s">
        <v>392</v>
      </c>
      <c r="C29" s="12" t="s">
        <v>430</v>
      </c>
      <c r="D29" s="12" t="s">
        <v>431</v>
      </c>
      <c r="E29" s="12" t="s">
        <v>432</v>
      </c>
      <c r="F29" s="12" t="s">
        <v>433</v>
      </c>
      <c r="G29" s="12" t="s">
        <v>434</v>
      </c>
      <c r="H29" s="12" t="s">
        <v>322</v>
      </c>
      <c r="I29" s="15" t="n">
        <v>1</v>
      </c>
      <c r="J29" s="12" t="s">
        <v>323</v>
      </c>
      <c r="K29" s="12"/>
    </row>
    <row r="30" customFormat="false" ht="13.5" hidden="false" customHeight="true" outlineLevel="0" collapsed="false">
      <c r="A30" s="12" t="s">
        <v>435</v>
      </c>
      <c r="B30" s="12" t="s">
        <v>392</v>
      </c>
      <c r="C30" s="12" t="s">
        <v>436</v>
      </c>
      <c r="D30" s="12" t="s">
        <v>437</v>
      </c>
      <c r="E30" s="12" t="s">
        <v>438</v>
      </c>
      <c r="F30" s="12" t="s">
        <v>439</v>
      </c>
      <c r="G30" s="12" t="s">
        <v>321</v>
      </c>
      <c r="H30" s="12" t="s">
        <v>322</v>
      </c>
      <c r="I30" s="15" t="n">
        <v>1</v>
      </c>
      <c r="J30" s="12" t="s">
        <v>323</v>
      </c>
      <c r="K30" s="12"/>
    </row>
    <row r="31" customFormat="false" ht="13.5" hidden="false" customHeight="true" outlineLevel="0" collapsed="false">
      <c r="A31" s="12" t="s">
        <v>440</v>
      </c>
      <c r="B31" s="12" t="s">
        <v>392</v>
      </c>
      <c r="C31" s="12" t="s">
        <v>441</v>
      </c>
      <c r="D31" s="12" t="s">
        <v>336</v>
      </c>
      <c r="E31" s="12" t="s">
        <v>376</v>
      </c>
      <c r="F31" s="12" t="s">
        <v>442</v>
      </c>
      <c r="G31" s="12" t="s">
        <v>357</v>
      </c>
      <c r="H31" s="12" t="s">
        <v>357</v>
      </c>
      <c r="I31" s="15" t="n">
        <v>0.5</v>
      </c>
      <c r="J31" s="12" t="s">
        <v>357</v>
      </c>
      <c r="K31" s="12"/>
    </row>
    <row r="32" customFormat="false" ht="13.5" hidden="false" customHeight="true" outlineLevel="0" collapsed="false">
      <c r="A32" s="12" t="s">
        <v>443</v>
      </c>
      <c r="B32" s="12" t="s">
        <v>392</v>
      </c>
      <c r="C32" s="12" t="s">
        <v>444</v>
      </c>
      <c r="D32" s="12" t="s">
        <v>445</v>
      </c>
      <c r="E32" s="12" t="s">
        <v>446</v>
      </c>
      <c r="F32" s="12" t="s">
        <v>447</v>
      </c>
      <c r="G32" s="12" t="s">
        <v>448</v>
      </c>
      <c r="H32" s="12" t="s">
        <v>389</v>
      </c>
      <c r="I32" s="15" t="n">
        <v>0</v>
      </c>
      <c r="J32" s="12" t="s">
        <v>390</v>
      </c>
      <c r="K32" s="12"/>
    </row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K2"/>
    <mergeCell ref="A3:K3"/>
  </mergeCells>
  <conditionalFormatting sqref="I6:I3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3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8.63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22"/>
    <col collapsed="false" customWidth="true" hidden="false" outlineLevel="0" max="26" min="9" style="0" width="8.63"/>
  </cols>
  <sheetData>
    <row r="1" customFormat="false" ht="18.75" hidden="false" customHeight="true" outlineLevel="0" collapsed="false">
      <c r="A1" s="9" t="s">
        <v>449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21.75" hidden="false" customHeight="true" outlineLevel="0" collapsed="false">
      <c r="A3" s="10" t="s">
        <v>450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210</v>
      </c>
      <c r="B5" s="11" t="s">
        <v>257</v>
      </c>
      <c r="C5" s="11" t="s">
        <v>212</v>
      </c>
      <c r="D5" s="11" t="s">
        <v>451</v>
      </c>
      <c r="F5" s="11" t="s">
        <v>452</v>
      </c>
      <c r="G5" s="11" t="s">
        <v>453</v>
      </c>
      <c r="H5" s="11" t="s">
        <v>454</v>
      </c>
    </row>
    <row r="6" customFormat="false" ht="13.5" hidden="false" customHeight="true" outlineLevel="0" collapsed="false">
      <c r="A6" s="12" t="s">
        <v>455</v>
      </c>
      <c r="B6" s="12" t="s">
        <v>456</v>
      </c>
      <c r="C6" s="12" t="n">
        <f aca="false">COUNTA('09_Rastreabilidade'!A6:A32)</f>
        <v>27</v>
      </c>
      <c r="D6" s="12" t="s">
        <v>457</v>
      </c>
      <c r="F6" s="12" t="s">
        <v>458</v>
      </c>
      <c r="G6" s="12" t="s">
        <v>459</v>
      </c>
      <c r="H6" s="12" t="n">
        <f aca="false">COUNTIF('09_Rastreabilidade'!$E$6:$E$32,"*"&amp;F6&amp;"*")</f>
        <v>13</v>
      </c>
    </row>
    <row r="7" customFormat="false" ht="13.5" hidden="false" customHeight="true" outlineLevel="0" collapsed="false">
      <c r="A7" s="12" t="s">
        <v>460</v>
      </c>
      <c r="B7" s="12" t="s">
        <v>461</v>
      </c>
      <c r="C7" s="12" t="n">
        <f aca="false">COUNTIF('09_Rastreabilidade'!B6:B32,"Funcional")</f>
        <v>15</v>
      </c>
      <c r="D7" s="12" t="s">
        <v>462</v>
      </c>
      <c r="F7" s="12" t="s">
        <v>463</v>
      </c>
      <c r="G7" s="12" t="s">
        <v>464</v>
      </c>
      <c r="H7" s="12" t="n">
        <f aca="false">COUNTIF('09_Rastreabilidade'!$E$6:$E$32,"*"&amp;F7&amp;"*")</f>
        <v>22</v>
      </c>
    </row>
    <row r="8" customFormat="false" ht="13.5" hidden="false" customHeight="true" outlineLevel="0" collapsed="false">
      <c r="A8" s="12" t="s">
        <v>465</v>
      </c>
      <c r="B8" s="12" t="s">
        <v>466</v>
      </c>
      <c r="C8" s="12" t="n">
        <f aca="false">COUNTIF('09_Rastreabilidade'!B6:B32,"Não funcional")</f>
        <v>12</v>
      </c>
      <c r="D8" s="12" t="s">
        <v>467</v>
      </c>
      <c r="F8" s="12" t="s">
        <v>468</v>
      </c>
      <c r="G8" s="12" t="s">
        <v>469</v>
      </c>
      <c r="H8" s="12" t="n">
        <f aca="false">COUNTIF('09_Rastreabilidade'!$E$6:$E$32,"*"&amp;F8&amp;"*")</f>
        <v>21</v>
      </c>
    </row>
    <row r="9" customFormat="false" ht="13.5" hidden="false" customHeight="true" outlineLevel="0" collapsed="false">
      <c r="A9" s="12" t="s">
        <v>470</v>
      </c>
      <c r="B9" s="12" t="s">
        <v>471</v>
      </c>
      <c r="C9" s="14" t="n">
        <f aca="false">100*SUM('09_Rastreabilidade'!I6:I32)/COUNTA('09_Rastreabilidade'!A6:A32)</f>
        <v>85.18518519</v>
      </c>
      <c r="D9" s="12" t="s">
        <v>472</v>
      </c>
      <c r="F9" s="12" t="s">
        <v>473</v>
      </c>
      <c r="G9" s="12" t="s">
        <v>474</v>
      </c>
      <c r="H9" s="12" t="n">
        <f aca="false">COUNTIF('09_Rastreabilidade'!$E$6:$E$32,"*"&amp;F9&amp;"*")</f>
        <v>19</v>
      </c>
    </row>
    <row r="10" customFormat="false" ht="13.5" hidden="false" customHeight="true" outlineLevel="0" collapsed="false">
      <c r="A10" s="12" t="s">
        <v>475</v>
      </c>
      <c r="B10" s="12" t="s">
        <v>476</v>
      </c>
      <c r="C10" s="12" t="n">
        <f aca="false">COUNTIF('09_Rastreabilidade'!I6:I32,"&gt;0")</f>
        <v>24</v>
      </c>
      <c r="D10" s="12" t="s">
        <v>477</v>
      </c>
      <c r="F10" s="12" t="s">
        <v>478</v>
      </c>
      <c r="G10" s="12" t="s">
        <v>479</v>
      </c>
      <c r="H10" s="12" t="n">
        <f aca="false">COUNTIF('09_Rastreabilidade'!$E$6:$E$32,"*"&amp;F10&amp;"*")</f>
        <v>15</v>
      </c>
    </row>
    <row r="11" customFormat="false" ht="13.5" hidden="false" customHeight="true" outlineLevel="0" collapsed="false">
      <c r="F11" s="12" t="s">
        <v>480</v>
      </c>
      <c r="G11" s="12" t="s">
        <v>481</v>
      </c>
      <c r="H11" s="12" t="n">
        <f aca="false">COUNTIF('09_Rastreabilidade'!$E$6:$E$32,"*"&amp;F11&amp;"*")</f>
        <v>7</v>
      </c>
    </row>
    <row r="12" customFormat="false" ht="13.5" hidden="false" customHeight="true" outlineLevel="0" collapsed="false">
      <c r="F12" s="12" t="s">
        <v>482</v>
      </c>
      <c r="G12" s="12" t="s">
        <v>483</v>
      </c>
      <c r="H12" s="12" t="n">
        <f aca="false">COUNTIF('09_Rastreabilidade'!$E$6:$E$32,"*"&amp;F12&amp;"*")</f>
        <v>2</v>
      </c>
    </row>
    <row r="13" customFormat="false" ht="13.5" hidden="false" customHeight="true" outlineLevel="0" collapsed="false">
      <c r="A13" s="11" t="s">
        <v>311</v>
      </c>
      <c r="B13" s="11" t="s">
        <v>484</v>
      </c>
      <c r="C13" s="11" t="s">
        <v>485</v>
      </c>
      <c r="F13" s="12" t="s">
        <v>486</v>
      </c>
      <c r="G13" s="12" t="s">
        <v>487</v>
      </c>
      <c r="H13" s="12" t="n">
        <f aca="false">COUNTIF('09_Rastreabilidade'!$E$6:$E$32,"*"&amp;F13&amp;"*")</f>
        <v>4</v>
      </c>
    </row>
    <row r="14" customFormat="false" ht="13.5" hidden="false" customHeight="true" outlineLevel="0" collapsed="false">
      <c r="A14" s="12" t="s">
        <v>322</v>
      </c>
      <c r="B14" s="12" t="n">
        <f aca="false">COUNTIF('09_Rastreabilidade'!$H$6:$H$32,A14)</f>
        <v>22</v>
      </c>
      <c r="C14" s="14" t="n">
        <f aca="false">100*B14/COUNTA('09_Rastreabilidade'!$A$6:$A$32)</f>
        <v>81.48148148</v>
      </c>
    </row>
    <row r="15" customFormat="false" ht="13.5" hidden="false" customHeight="true" outlineLevel="0" collapsed="false">
      <c r="A15" s="12" t="s">
        <v>357</v>
      </c>
      <c r="B15" s="12" t="n">
        <f aca="false">COUNTIF('09_Rastreabilidade'!$H$6:$H$32,A15)</f>
        <v>2</v>
      </c>
      <c r="C15" s="14" t="n">
        <f aca="false">100*B15/COUNTA('09_Rastreabilidade'!$A$6:$A$32)</f>
        <v>7.407407407</v>
      </c>
    </row>
    <row r="16" customFormat="false" ht="13.5" hidden="false" customHeight="true" outlineLevel="0" collapsed="false">
      <c r="A16" s="12" t="s">
        <v>389</v>
      </c>
      <c r="B16" s="12" t="n">
        <f aca="false">COUNTIF('09_Rastreabilidade'!$H$6:$H$32,A16)</f>
        <v>2</v>
      </c>
      <c r="C16" s="14" t="n">
        <f aca="false">100*B16/COUNTA('09_Rastreabilidade'!$A$6:$A$32)</f>
        <v>7.407407407</v>
      </c>
    </row>
    <row r="17" customFormat="false" ht="13.5" hidden="false" customHeight="true" outlineLevel="0" collapsed="false">
      <c r="A17" s="12" t="s">
        <v>414</v>
      </c>
      <c r="B17" s="12" t="n">
        <f aca="false">COUNTIF('09_Rastreabilidade'!$H$6:$H$32,A17)</f>
        <v>1</v>
      </c>
      <c r="C17" s="14" t="n">
        <f aca="false">100*B17/COUNTA('09_Rastreabilidade'!$A$6:$A$32)</f>
        <v>3.703703704</v>
      </c>
    </row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M2"/>
    <mergeCell ref="A3:M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8" min="5" style="0" width="18"/>
    <col collapsed="false" customWidth="true" hidden="false" outlineLevel="0" max="9" min="9" style="0" width="44"/>
    <col collapsed="false" customWidth="true" hidden="false" outlineLevel="0" max="26" min="10" style="0" width="8.63"/>
  </cols>
  <sheetData>
    <row r="1" customFormat="false" ht="18.75" hidden="false" customHeight="true" outlineLevel="0" collapsed="false">
      <c r="A1" s="9" t="s">
        <v>488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</row>
    <row r="3" customFormat="false" ht="21.75" hidden="false" customHeight="true" outlineLevel="0" collapsed="false">
      <c r="A3" s="10" t="s">
        <v>489</v>
      </c>
      <c r="B3" s="10"/>
      <c r="C3" s="10"/>
      <c r="D3" s="10"/>
      <c r="E3" s="10"/>
      <c r="F3" s="10"/>
      <c r="G3" s="10"/>
      <c r="H3" s="10"/>
      <c r="I3" s="10"/>
      <c r="J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490</v>
      </c>
      <c r="B5" s="11" t="s">
        <v>258</v>
      </c>
      <c r="C5" s="11" t="s">
        <v>491</v>
      </c>
      <c r="D5" s="11" t="s">
        <v>492</v>
      </c>
      <c r="E5" s="11" t="s">
        <v>493</v>
      </c>
      <c r="F5" s="11" t="s">
        <v>274</v>
      </c>
    </row>
    <row r="6" customFormat="false" ht="13.5" hidden="false" customHeight="true" outlineLevel="0" collapsed="false">
      <c r="A6" s="12" t="s">
        <v>494</v>
      </c>
      <c r="B6" s="12" t="s">
        <v>495</v>
      </c>
      <c r="C6" s="12" t="s">
        <v>496</v>
      </c>
      <c r="D6" s="12" t="s">
        <v>323</v>
      </c>
      <c r="E6" s="12" t="s">
        <v>497</v>
      </c>
      <c r="F6" s="12" t="s">
        <v>498</v>
      </c>
    </row>
    <row r="7" customFormat="false" ht="13.5" hidden="false" customHeight="true" outlineLevel="0" collapsed="false">
      <c r="A7" s="12" t="s">
        <v>499</v>
      </c>
      <c r="B7" s="12" t="s">
        <v>500</v>
      </c>
      <c r="C7" s="12" t="s">
        <v>501</v>
      </c>
      <c r="D7" s="12" t="s">
        <v>323</v>
      </c>
      <c r="E7" s="12" t="s">
        <v>502</v>
      </c>
      <c r="F7" s="12" t="s">
        <v>503</v>
      </c>
    </row>
    <row r="8" customFormat="false" ht="13.5" hidden="false" customHeight="true" outlineLevel="0" collapsed="false">
      <c r="A8" s="12" t="s">
        <v>504</v>
      </c>
      <c r="B8" s="12" t="s">
        <v>505</v>
      </c>
      <c r="C8" s="12" t="s">
        <v>506</v>
      </c>
      <c r="D8" s="12" t="s">
        <v>323</v>
      </c>
      <c r="E8" s="12" t="s">
        <v>507</v>
      </c>
      <c r="F8" s="12" t="s">
        <v>508</v>
      </c>
    </row>
    <row r="9" customFormat="false" ht="13.5" hidden="false" customHeight="true" outlineLevel="0" collapsed="false">
      <c r="A9" s="12" t="s">
        <v>509</v>
      </c>
      <c r="B9" s="12" t="s">
        <v>510</v>
      </c>
      <c r="C9" s="12" t="s">
        <v>511</v>
      </c>
      <c r="D9" s="12" t="s">
        <v>323</v>
      </c>
      <c r="E9" s="12" t="s">
        <v>512</v>
      </c>
      <c r="F9" s="12" t="s">
        <v>513</v>
      </c>
    </row>
    <row r="10" customFormat="false" ht="13.5" hidden="false" customHeight="true" outlineLevel="0" collapsed="false">
      <c r="A10" s="12" t="s">
        <v>514</v>
      </c>
      <c r="B10" s="12" t="s">
        <v>515</v>
      </c>
      <c r="C10" s="12" t="s">
        <v>506</v>
      </c>
      <c r="D10" s="12" t="s">
        <v>323</v>
      </c>
      <c r="E10" s="12" t="s">
        <v>507</v>
      </c>
      <c r="F10" s="12" t="s">
        <v>516</v>
      </c>
    </row>
    <row r="11" customFormat="false" ht="13.5" hidden="false" customHeight="true" outlineLevel="0" collapsed="false">
      <c r="A11" s="12" t="s">
        <v>517</v>
      </c>
      <c r="B11" s="12" t="s">
        <v>518</v>
      </c>
      <c r="C11" s="12" t="s">
        <v>519</v>
      </c>
      <c r="D11" s="12" t="s">
        <v>323</v>
      </c>
      <c r="E11" s="12" t="s">
        <v>520</v>
      </c>
      <c r="F11" s="12" t="s">
        <v>521</v>
      </c>
    </row>
    <row r="12" customFormat="false" ht="13.5" hidden="false" customHeight="true" outlineLevel="0" collapsed="false">
      <c r="A12" s="12" t="s">
        <v>522</v>
      </c>
      <c r="B12" s="12" t="s">
        <v>523</v>
      </c>
      <c r="C12" s="12" t="s">
        <v>524</v>
      </c>
      <c r="D12" s="12" t="s">
        <v>323</v>
      </c>
      <c r="E12" s="12" t="s">
        <v>525</v>
      </c>
      <c r="F12" s="12" t="s">
        <v>526</v>
      </c>
    </row>
    <row r="13" customFormat="false" ht="13.5" hidden="false" customHeight="true" outlineLevel="0" collapsed="false">
      <c r="A13" s="12" t="s">
        <v>527</v>
      </c>
      <c r="B13" s="12" t="s">
        <v>528</v>
      </c>
      <c r="C13" s="12" t="s">
        <v>529</v>
      </c>
      <c r="D13" s="12" t="s">
        <v>323</v>
      </c>
      <c r="E13" s="12" t="s">
        <v>525</v>
      </c>
      <c r="F13" s="12" t="s">
        <v>530</v>
      </c>
    </row>
    <row r="14" customFormat="false" ht="13.5" hidden="false" customHeight="true" outlineLevel="0" collapsed="false"/>
    <row r="15" customFormat="false" ht="13.5" hidden="false" customHeight="true" outlineLevel="0" collapsed="false">
      <c r="A15" s="11" t="s">
        <v>494</v>
      </c>
      <c r="B15" s="11" t="s">
        <v>499</v>
      </c>
      <c r="C15" s="11" t="s">
        <v>504</v>
      </c>
      <c r="D15" s="11" t="s">
        <v>531</v>
      </c>
      <c r="E15" s="11" t="s">
        <v>514</v>
      </c>
      <c r="F15" s="11" t="s">
        <v>532</v>
      </c>
      <c r="G15" s="11" t="s">
        <v>243</v>
      </c>
      <c r="H15" s="11" t="s">
        <v>244</v>
      </c>
      <c r="I15" s="11" t="s">
        <v>533</v>
      </c>
    </row>
    <row r="16" customFormat="false" ht="13.5" hidden="false" customHeight="true" outlineLevel="0" collapsed="false">
      <c r="A16" s="12"/>
      <c r="B16" s="14"/>
      <c r="C16" s="14"/>
      <c r="D16" s="14"/>
      <c r="E16" s="14"/>
      <c r="F16" s="14"/>
      <c r="G16" s="14"/>
      <c r="H16" s="14"/>
      <c r="I16" s="12"/>
    </row>
    <row r="17" customFormat="false" ht="13.5" hidden="false" customHeight="true" outlineLevel="0" collapsed="false">
      <c r="A17" s="12"/>
      <c r="B17" s="14"/>
      <c r="C17" s="14"/>
      <c r="D17" s="14"/>
      <c r="E17" s="14"/>
      <c r="F17" s="14"/>
      <c r="G17" s="14"/>
      <c r="H17" s="14"/>
      <c r="I17" s="12"/>
    </row>
    <row r="18" customFormat="false" ht="13.5" hidden="false" customHeight="true" outlineLevel="0" collapsed="false">
      <c r="A18" s="12"/>
      <c r="B18" s="14"/>
      <c r="C18" s="14"/>
      <c r="D18" s="14"/>
      <c r="E18" s="14"/>
      <c r="F18" s="14"/>
      <c r="G18" s="14"/>
      <c r="H18" s="14"/>
      <c r="I18" s="12"/>
    </row>
    <row r="19" customFormat="false" ht="13.5" hidden="false" customHeight="true" outlineLevel="0" collapsed="false">
      <c r="A19" s="12"/>
      <c r="B19" s="14"/>
      <c r="C19" s="14"/>
      <c r="D19" s="14"/>
      <c r="E19" s="14"/>
      <c r="F19" s="14"/>
      <c r="G19" s="14"/>
      <c r="H19" s="14"/>
      <c r="I19" s="12"/>
    </row>
    <row r="20" customFormat="false" ht="13.5" hidden="false" customHeight="true" outlineLevel="0" collapsed="false">
      <c r="A20" s="12"/>
      <c r="B20" s="14"/>
      <c r="C20" s="14"/>
      <c r="D20" s="14"/>
      <c r="E20" s="14"/>
      <c r="F20" s="14"/>
      <c r="G20" s="14"/>
      <c r="H20" s="14"/>
      <c r="I20" s="12"/>
    </row>
    <row r="21" customFormat="false" ht="13.5" hidden="false" customHeight="true" outlineLevel="0" collapsed="false">
      <c r="A21" s="12"/>
      <c r="B21" s="14"/>
      <c r="C21" s="14"/>
      <c r="D21" s="14"/>
      <c r="E21" s="14"/>
      <c r="F21" s="14"/>
      <c r="G21" s="14"/>
      <c r="H21" s="14"/>
      <c r="I21" s="12"/>
    </row>
    <row r="22" customFormat="false" ht="13.5" hidden="false" customHeight="true" outlineLevel="0" collapsed="false">
      <c r="A22" s="12"/>
      <c r="B22" s="14"/>
      <c r="C22" s="14"/>
      <c r="D22" s="14"/>
      <c r="E22" s="14"/>
      <c r="F22" s="14"/>
      <c r="G22" s="14"/>
      <c r="H22" s="14"/>
      <c r="I22" s="12"/>
    </row>
    <row r="23" customFormat="false" ht="13.5" hidden="false" customHeight="true" outlineLevel="0" collapsed="false">
      <c r="A23" s="12"/>
      <c r="B23" s="14"/>
      <c r="C23" s="14"/>
      <c r="D23" s="14"/>
      <c r="E23" s="14"/>
      <c r="F23" s="14"/>
      <c r="G23" s="14"/>
      <c r="H23" s="14"/>
      <c r="I23" s="12"/>
    </row>
    <row r="24" customFormat="false" ht="13.5" hidden="false" customHeight="true" outlineLevel="0" collapsed="false">
      <c r="A24" s="12"/>
      <c r="B24" s="14"/>
      <c r="C24" s="14"/>
      <c r="D24" s="14"/>
      <c r="E24" s="14"/>
      <c r="F24" s="14"/>
      <c r="G24" s="14"/>
      <c r="H24" s="14"/>
      <c r="I24" s="12"/>
    </row>
    <row r="25" customFormat="false" ht="13.5" hidden="false" customHeight="true" outlineLevel="0" collapsed="false">
      <c r="A25" s="12"/>
      <c r="B25" s="14"/>
      <c r="C25" s="14"/>
      <c r="D25" s="14"/>
      <c r="E25" s="14"/>
      <c r="F25" s="14"/>
      <c r="G25" s="14"/>
      <c r="H25" s="14"/>
      <c r="I25" s="12"/>
    </row>
    <row r="26" customFormat="false" ht="13.5" hidden="false" customHeight="true" outlineLevel="0" collapsed="false">
      <c r="A26" s="12"/>
      <c r="B26" s="14"/>
      <c r="C26" s="14"/>
      <c r="D26" s="14"/>
      <c r="E26" s="14"/>
      <c r="F26" s="14"/>
      <c r="G26" s="14"/>
      <c r="H26" s="14"/>
      <c r="I26" s="12"/>
    </row>
    <row r="27" customFormat="false" ht="13.5" hidden="false" customHeight="true" outlineLevel="0" collapsed="false">
      <c r="A27" s="12"/>
      <c r="B27" s="14"/>
      <c r="C27" s="14"/>
      <c r="D27" s="14"/>
      <c r="E27" s="14"/>
      <c r="F27" s="14"/>
      <c r="G27" s="14"/>
      <c r="H27" s="14"/>
      <c r="I27" s="12"/>
    </row>
    <row r="28" customFormat="false" ht="13.5" hidden="false" customHeight="true" outlineLevel="0" collapsed="false">
      <c r="A28" s="12"/>
      <c r="B28" s="14"/>
      <c r="C28" s="14"/>
      <c r="D28" s="14"/>
      <c r="E28" s="14"/>
      <c r="F28" s="14"/>
      <c r="G28" s="14"/>
      <c r="H28" s="14"/>
      <c r="I28" s="12"/>
    </row>
    <row r="29" customFormat="false" ht="13.5" hidden="false" customHeight="true" outlineLevel="0" collapsed="false">
      <c r="A29" s="12"/>
      <c r="B29" s="14"/>
      <c r="C29" s="14"/>
      <c r="D29" s="14"/>
      <c r="E29" s="14"/>
      <c r="F29" s="14"/>
      <c r="G29" s="14"/>
      <c r="H29" s="14"/>
      <c r="I29" s="12"/>
    </row>
    <row r="30" customFormat="false" ht="13.5" hidden="false" customHeight="true" outlineLevel="0" collapsed="false">
      <c r="A30" s="12"/>
      <c r="B30" s="14"/>
      <c r="C30" s="14"/>
      <c r="D30" s="14"/>
      <c r="E30" s="14"/>
      <c r="F30" s="14"/>
      <c r="G30" s="14"/>
      <c r="H30" s="14"/>
      <c r="I30" s="12"/>
    </row>
    <row r="31" customFormat="false" ht="13.5" hidden="false" customHeight="true" outlineLevel="0" collapsed="false">
      <c r="A31" s="12"/>
      <c r="B31" s="14"/>
      <c r="C31" s="14"/>
      <c r="D31" s="14"/>
      <c r="E31" s="14"/>
      <c r="F31" s="14"/>
      <c r="G31" s="14"/>
      <c r="H31" s="14"/>
      <c r="I31" s="12"/>
    </row>
    <row r="32" customFormat="false" ht="13.5" hidden="false" customHeight="true" outlineLevel="0" collapsed="false">
      <c r="A32" s="12"/>
      <c r="B32" s="14"/>
      <c r="C32" s="14"/>
      <c r="D32" s="14"/>
      <c r="E32" s="14"/>
      <c r="F32" s="14"/>
      <c r="G32" s="14"/>
      <c r="H32" s="14"/>
      <c r="I32" s="12"/>
    </row>
    <row r="33" customFormat="false" ht="13.5" hidden="false" customHeight="true" outlineLevel="0" collapsed="false">
      <c r="A33" s="12"/>
      <c r="B33" s="14"/>
      <c r="C33" s="14"/>
      <c r="D33" s="14"/>
      <c r="E33" s="14"/>
      <c r="F33" s="14"/>
      <c r="G33" s="14"/>
      <c r="H33" s="14"/>
      <c r="I33" s="12"/>
    </row>
    <row r="34" customFormat="false" ht="13.5" hidden="false" customHeight="true" outlineLevel="0" collapsed="false">
      <c r="A34" s="12"/>
      <c r="B34" s="14"/>
      <c r="C34" s="14"/>
      <c r="D34" s="14"/>
      <c r="E34" s="14"/>
      <c r="F34" s="14"/>
      <c r="G34" s="14"/>
      <c r="H34" s="14"/>
      <c r="I34" s="12"/>
    </row>
    <row r="35" customFormat="false" ht="13.5" hidden="false" customHeight="true" outlineLevel="0" collapsed="false">
      <c r="A35" s="12"/>
      <c r="B35" s="14"/>
      <c r="C35" s="14"/>
      <c r="D35" s="14"/>
      <c r="E35" s="14"/>
      <c r="F35" s="14"/>
      <c r="G35" s="14"/>
      <c r="H35" s="14"/>
      <c r="I35" s="12"/>
    </row>
    <row r="36" customFormat="false" ht="13.5" hidden="false" customHeight="true" outlineLevel="0" collapsed="false">
      <c r="A36" s="12"/>
      <c r="B36" s="14"/>
      <c r="C36" s="14"/>
      <c r="D36" s="14"/>
      <c r="E36" s="14"/>
      <c r="F36" s="14"/>
      <c r="G36" s="14"/>
      <c r="H36" s="14"/>
      <c r="I36" s="12"/>
    </row>
    <row r="37" customFormat="false" ht="13.5" hidden="false" customHeight="true" outlineLevel="0" collapsed="false">
      <c r="A37" s="12"/>
      <c r="B37" s="14"/>
      <c r="C37" s="14"/>
      <c r="D37" s="14"/>
      <c r="E37" s="14"/>
      <c r="F37" s="14"/>
      <c r="G37" s="14"/>
      <c r="H37" s="14"/>
      <c r="I37" s="12"/>
    </row>
    <row r="38" customFormat="false" ht="13.5" hidden="false" customHeight="true" outlineLevel="0" collapsed="false">
      <c r="A38" s="12"/>
      <c r="B38" s="14"/>
      <c r="C38" s="14"/>
      <c r="D38" s="14"/>
      <c r="E38" s="14"/>
      <c r="F38" s="14"/>
      <c r="G38" s="14"/>
      <c r="H38" s="14"/>
      <c r="I38" s="12"/>
    </row>
    <row r="39" customFormat="false" ht="13.5" hidden="false" customHeight="true" outlineLevel="0" collapsed="false">
      <c r="A39" s="12"/>
      <c r="B39" s="14"/>
      <c r="C39" s="14"/>
      <c r="D39" s="14"/>
      <c r="E39" s="14"/>
      <c r="F39" s="14"/>
      <c r="G39" s="14"/>
      <c r="H39" s="14"/>
      <c r="I39" s="12"/>
    </row>
    <row r="40" customFormat="false" ht="13.5" hidden="false" customHeight="true" outlineLevel="0" collapsed="false">
      <c r="A40" s="12"/>
      <c r="B40" s="14"/>
      <c r="C40" s="14"/>
      <c r="D40" s="14"/>
      <c r="E40" s="14"/>
      <c r="F40" s="14"/>
      <c r="G40" s="14"/>
      <c r="H40" s="14"/>
      <c r="I40" s="12"/>
    </row>
    <row r="41" customFormat="false" ht="13.5" hidden="false" customHeight="true" outlineLevel="0" collapsed="false">
      <c r="A41" s="12"/>
      <c r="B41" s="14"/>
      <c r="C41" s="14"/>
      <c r="D41" s="14"/>
      <c r="E41" s="14"/>
      <c r="F41" s="14"/>
      <c r="G41" s="14"/>
      <c r="H41" s="14"/>
      <c r="I41" s="12"/>
    </row>
    <row r="42" customFormat="false" ht="13.5" hidden="false" customHeight="true" outlineLevel="0" collapsed="false">
      <c r="A42" s="12"/>
      <c r="B42" s="14"/>
      <c r="C42" s="14"/>
      <c r="D42" s="14"/>
      <c r="E42" s="14"/>
      <c r="F42" s="14"/>
      <c r="G42" s="14"/>
      <c r="H42" s="14"/>
      <c r="I42" s="12"/>
    </row>
    <row r="43" customFormat="false" ht="13.5" hidden="false" customHeight="true" outlineLevel="0" collapsed="false">
      <c r="A43" s="12"/>
      <c r="B43" s="14"/>
      <c r="C43" s="14"/>
      <c r="D43" s="14"/>
      <c r="E43" s="14"/>
      <c r="F43" s="14"/>
      <c r="G43" s="14"/>
      <c r="H43" s="14"/>
      <c r="I43" s="12"/>
    </row>
    <row r="44" customFormat="false" ht="13.5" hidden="false" customHeight="true" outlineLevel="0" collapsed="false">
      <c r="A44" s="12"/>
      <c r="B44" s="14"/>
      <c r="C44" s="14"/>
      <c r="D44" s="14"/>
      <c r="E44" s="14"/>
      <c r="F44" s="14"/>
      <c r="G44" s="14"/>
      <c r="H44" s="14"/>
      <c r="I44" s="12"/>
    </row>
    <row r="45" customFormat="false" ht="13.5" hidden="false" customHeight="true" outlineLevel="0" collapsed="false">
      <c r="A45" s="12"/>
      <c r="B45" s="14"/>
      <c r="C45" s="14"/>
      <c r="D45" s="14"/>
      <c r="E45" s="14"/>
      <c r="F45" s="14"/>
      <c r="G45" s="14"/>
      <c r="H45" s="14"/>
      <c r="I45" s="12"/>
    </row>
    <row r="46" customFormat="false" ht="13.5" hidden="false" customHeight="true" outlineLevel="0" collapsed="false">
      <c r="A46" s="12"/>
      <c r="B46" s="14"/>
      <c r="C46" s="14"/>
      <c r="D46" s="14"/>
      <c r="E46" s="14"/>
      <c r="F46" s="14"/>
      <c r="G46" s="14"/>
      <c r="H46" s="14"/>
      <c r="I46" s="12"/>
    </row>
    <row r="47" customFormat="false" ht="13.5" hidden="false" customHeight="true" outlineLevel="0" collapsed="false">
      <c r="A47" s="12"/>
      <c r="B47" s="14"/>
      <c r="C47" s="14"/>
      <c r="D47" s="14"/>
      <c r="E47" s="14"/>
      <c r="F47" s="14"/>
      <c r="G47" s="14"/>
      <c r="H47" s="14"/>
      <c r="I47" s="12"/>
    </row>
    <row r="48" customFormat="false" ht="13.5" hidden="false" customHeight="true" outlineLevel="0" collapsed="false">
      <c r="A48" s="12"/>
      <c r="B48" s="14"/>
      <c r="C48" s="14"/>
      <c r="D48" s="14"/>
      <c r="E48" s="14"/>
      <c r="F48" s="14"/>
      <c r="G48" s="14"/>
      <c r="H48" s="14"/>
      <c r="I48" s="12"/>
    </row>
    <row r="49" customFormat="false" ht="13.5" hidden="false" customHeight="true" outlineLevel="0" collapsed="false">
      <c r="A49" s="12"/>
      <c r="B49" s="14"/>
      <c r="C49" s="14"/>
      <c r="D49" s="14"/>
      <c r="E49" s="14"/>
      <c r="F49" s="14"/>
      <c r="G49" s="14"/>
      <c r="H49" s="14"/>
      <c r="I49" s="12"/>
    </row>
    <row r="50" customFormat="false" ht="13.5" hidden="false" customHeight="true" outlineLevel="0" collapsed="false">
      <c r="A50" s="12"/>
      <c r="B50" s="14"/>
      <c r="C50" s="14"/>
      <c r="D50" s="14"/>
      <c r="E50" s="14"/>
      <c r="F50" s="14"/>
      <c r="G50" s="14"/>
      <c r="H50" s="14"/>
      <c r="I50" s="12"/>
    </row>
    <row r="51" customFormat="false" ht="13.5" hidden="false" customHeight="true" outlineLevel="0" collapsed="false">
      <c r="A51" s="12"/>
      <c r="B51" s="14"/>
      <c r="C51" s="14"/>
      <c r="D51" s="14"/>
      <c r="E51" s="14"/>
      <c r="F51" s="14"/>
      <c r="G51" s="14"/>
      <c r="H51" s="14"/>
      <c r="I51" s="12"/>
    </row>
    <row r="52" customFormat="false" ht="13.5" hidden="false" customHeight="true" outlineLevel="0" collapsed="false">
      <c r="A52" s="12"/>
      <c r="B52" s="14"/>
      <c r="C52" s="14"/>
      <c r="D52" s="14"/>
      <c r="E52" s="14"/>
      <c r="F52" s="14"/>
      <c r="G52" s="14"/>
      <c r="H52" s="14"/>
      <c r="I52" s="12"/>
    </row>
    <row r="53" customFormat="false" ht="13.5" hidden="false" customHeight="true" outlineLevel="0" collapsed="false">
      <c r="A53" s="12"/>
      <c r="B53" s="14"/>
      <c r="C53" s="14"/>
      <c r="D53" s="14"/>
      <c r="E53" s="14"/>
      <c r="F53" s="14"/>
      <c r="G53" s="14"/>
      <c r="H53" s="14"/>
      <c r="I53" s="12"/>
    </row>
    <row r="54" customFormat="false" ht="13.5" hidden="false" customHeight="true" outlineLevel="0" collapsed="false">
      <c r="A54" s="12"/>
      <c r="B54" s="14"/>
      <c r="C54" s="14"/>
      <c r="D54" s="14"/>
      <c r="E54" s="14"/>
      <c r="F54" s="14"/>
      <c r="G54" s="14"/>
      <c r="H54" s="14"/>
      <c r="I54" s="12"/>
    </row>
    <row r="55" customFormat="false" ht="13.5" hidden="false" customHeight="true" outlineLevel="0" collapsed="false">
      <c r="A55" s="12"/>
      <c r="B55" s="14"/>
      <c r="C55" s="14"/>
      <c r="D55" s="14"/>
      <c r="E55" s="14"/>
      <c r="F55" s="14"/>
      <c r="G55" s="14"/>
      <c r="H55" s="14"/>
      <c r="I55" s="12"/>
    </row>
    <row r="56" customFormat="false" ht="13.5" hidden="false" customHeight="true" outlineLevel="0" collapsed="false">
      <c r="A56" s="12"/>
      <c r="B56" s="14"/>
      <c r="C56" s="14"/>
      <c r="D56" s="14"/>
      <c r="E56" s="14"/>
      <c r="F56" s="14"/>
      <c r="G56" s="14"/>
      <c r="H56" s="14"/>
      <c r="I56" s="12"/>
    </row>
    <row r="57" customFormat="false" ht="13.5" hidden="false" customHeight="true" outlineLevel="0" collapsed="false">
      <c r="A57" s="12"/>
      <c r="B57" s="14"/>
      <c r="C57" s="14"/>
      <c r="D57" s="14"/>
      <c r="E57" s="14"/>
      <c r="F57" s="14"/>
      <c r="G57" s="14"/>
      <c r="H57" s="14"/>
      <c r="I57" s="12"/>
    </row>
    <row r="58" customFormat="false" ht="13.5" hidden="false" customHeight="true" outlineLevel="0" collapsed="false">
      <c r="A58" s="12"/>
      <c r="B58" s="14"/>
      <c r="C58" s="14"/>
      <c r="D58" s="14"/>
      <c r="E58" s="14"/>
      <c r="F58" s="14"/>
      <c r="G58" s="14"/>
      <c r="H58" s="14"/>
      <c r="I58" s="12"/>
    </row>
    <row r="59" customFormat="false" ht="13.5" hidden="false" customHeight="true" outlineLevel="0" collapsed="false">
      <c r="A59" s="12"/>
      <c r="B59" s="14"/>
      <c r="C59" s="14"/>
      <c r="D59" s="14"/>
      <c r="E59" s="14"/>
      <c r="F59" s="14"/>
      <c r="G59" s="14"/>
      <c r="H59" s="14"/>
      <c r="I59" s="12"/>
    </row>
    <row r="60" customFormat="false" ht="13.5" hidden="false" customHeight="true" outlineLevel="0" collapsed="false">
      <c r="A60" s="12"/>
      <c r="B60" s="14"/>
      <c r="C60" s="14"/>
      <c r="D60" s="14"/>
      <c r="E60" s="14"/>
      <c r="F60" s="14"/>
      <c r="G60" s="14"/>
      <c r="H60" s="14"/>
      <c r="I60" s="12"/>
    </row>
    <row r="61" customFormat="false" ht="13.5" hidden="false" customHeight="true" outlineLevel="0" collapsed="false">
      <c r="A61" s="12"/>
      <c r="B61" s="14"/>
      <c r="C61" s="14"/>
      <c r="D61" s="14"/>
      <c r="E61" s="14"/>
      <c r="F61" s="14"/>
      <c r="G61" s="14"/>
      <c r="H61" s="14"/>
      <c r="I61" s="12"/>
    </row>
    <row r="62" customFormat="false" ht="13.5" hidden="false" customHeight="true" outlineLevel="0" collapsed="false">
      <c r="A62" s="12"/>
      <c r="B62" s="14"/>
      <c r="C62" s="14"/>
      <c r="D62" s="14"/>
      <c r="E62" s="14"/>
      <c r="F62" s="14"/>
      <c r="G62" s="14"/>
      <c r="H62" s="14"/>
      <c r="I62" s="12"/>
    </row>
    <row r="63" customFormat="false" ht="13.5" hidden="false" customHeight="true" outlineLevel="0" collapsed="false">
      <c r="A63" s="12"/>
      <c r="B63" s="14"/>
      <c r="C63" s="14"/>
      <c r="D63" s="14"/>
      <c r="E63" s="14"/>
      <c r="F63" s="14"/>
      <c r="G63" s="14"/>
      <c r="H63" s="14"/>
      <c r="I63" s="12"/>
    </row>
    <row r="64" customFormat="false" ht="13.5" hidden="false" customHeight="true" outlineLevel="0" collapsed="false">
      <c r="A64" s="12"/>
      <c r="B64" s="14"/>
      <c r="C64" s="14"/>
      <c r="D64" s="14"/>
      <c r="E64" s="14"/>
      <c r="F64" s="14"/>
      <c r="G64" s="14"/>
      <c r="H64" s="14"/>
      <c r="I64" s="12"/>
    </row>
    <row r="65" customFormat="false" ht="13.5" hidden="false" customHeight="true" outlineLevel="0" collapsed="false">
      <c r="A65" s="12"/>
      <c r="B65" s="14"/>
      <c r="C65" s="14"/>
      <c r="D65" s="14"/>
      <c r="E65" s="14"/>
      <c r="F65" s="14"/>
      <c r="G65" s="14"/>
      <c r="H65" s="14"/>
      <c r="I65" s="12"/>
    </row>
    <row r="66" customFormat="false" ht="13.5" hidden="false" customHeight="true" outlineLevel="0" collapsed="false">
      <c r="A66" s="12"/>
      <c r="B66" s="14"/>
      <c r="C66" s="14"/>
      <c r="D66" s="14"/>
      <c r="E66" s="14"/>
      <c r="F66" s="14"/>
      <c r="G66" s="14"/>
      <c r="H66" s="14"/>
      <c r="I66" s="12"/>
    </row>
    <row r="67" customFormat="false" ht="13.5" hidden="false" customHeight="true" outlineLevel="0" collapsed="false">
      <c r="A67" s="12"/>
      <c r="B67" s="14"/>
      <c r="C67" s="14"/>
      <c r="D67" s="14"/>
      <c r="E67" s="14"/>
      <c r="F67" s="14"/>
      <c r="G67" s="14"/>
      <c r="H67" s="14"/>
      <c r="I67" s="12"/>
    </row>
    <row r="68" customFormat="false" ht="13.5" hidden="false" customHeight="true" outlineLevel="0" collapsed="false">
      <c r="A68" s="12"/>
      <c r="B68" s="14"/>
      <c r="C68" s="14"/>
      <c r="D68" s="14"/>
      <c r="E68" s="14"/>
      <c r="F68" s="14"/>
      <c r="G68" s="14"/>
      <c r="H68" s="14"/>
      <c r="I68" s="12"/>
    </row>
    <row r="69" customFormat="false" ht="13.5" hidden="false" customHeight="true" outlineLevel="0" collapsed="false">
      <c r="A69" s="12"/>
      <c r="B69" s="14"/>
      <c r="C69" s="14"/>
      <c r="D69" s="14"/>
      <c r="E69" s="14"/>
      <c r="F69" s="14"/>
      <c r="G69" s="14"/>
      <c r="H69" s="14"/>
      <c r="I69" s="12"/>
    </row>
    <row r="70" customFormat="false" ht="13.5" hidden="false" customHeight="true" outlineLevel="0" collapsed="false">
      <c r="A70" s="12"/>
      <c r="B70" s="14"/>
      <c r="C70" s="14"/>
      <c r="D70" s="14"/>
      <c r="E70" s="14"/>
      <c r="F70" s="14"/>
      <c r="G70" s="14"/>
      <c r="H70" s="14"/>
      <c r="I70" s="12"/>
    </row>
    <row r="71" customFormat="false" ht="13.5" hidden="false" customHeight="true" outlineLevel="0" collapsed="false">
      <c r="A71" s="12"/>
      <c r="B71" s="14"/>
      <c r="C71" s="14"/>
      <c r="D71" s="14"/>
      <c r="E71" s="14"/>
      <c r="F71" s="14"/>
      <c r="G71" s="14"/>
      <c r="H71" s="14"/>
      <c r="I71" s="12"/>
    </row>
    <row r="72" customFormat="false" ht="13.5" hidden="false" customHeight="true" outlineLevel="0" collapsed="false">
      <c r="A72" s="12"/>
      <c r="B72" s="14"/>
      <c r="C72" s="14"/>
      <c r="D72" s="14"/>
      <c r="E72" s="14"/>
      <c r="F72" s="14"/>
      <c r="G72" s="14"/>
      <c r="H72" s="14"/>
      <c r="I72" s="12"/>
    </row>
    <row r="73" customFormat="false" ht="13.5" hidden="false" customHeight="true" outlineLevel="0" collapsed="false">
      <c r="A73" s="12"/>
      <c r="B73" s="14"/>
      <c r="C73" s="14"/>
      <c r="D73" s="14"/>
      <c r="E73" s="14"/>
      <c r="F73" s="14"/>
      <c r="G73" s="14"/>
      <c r="H73" s="14"/>
      <c r="I73" s="12"/>
    </row>
    <row r="74" customFormat="false" ht="13.5" hidden="false" customHeight="true" outlineLevel="0" collapsed="false">
      <c r="A74" s="12"/>
      <c r="B74" s="14"/>
      <c r="C74" s="14"/>
      <c r="D74" s="14"/>
      <c r="E74" s="14"/>
      <c r="F74" s="14"/>
      <c r="G74" s="14"/>
      <c r="H74" s="14"/>
      <c r="I74" s="12"/>
    </row>
    <row r="75" customFormat="false" ht="13.5" hidden="false" customHeight="true" outlineLevel="0" collapsed="false">
      <c r="A75" s="12"/>
      <c r="B75" s="14"/>
      <c r="C75" s="14"/>
      <c r="D75" s="14"/>
      <c r="E75" s="14"/>
      <c r="F75" s="14"/>
      <c r="G75" s="14"/>
      <c r="H75" s="14"/>
      <c r="I75" s="12"/>
    </row>
    <row r="76" customFormat="false" ht="13.5" hidden="false" customHeight="true" outlineLevel="0" collapsed="false">
      <c r="A76" s="12"/>
      <c r="B76" s="14"/>
      <c r="C76" s="14"/>
      <c r="D76" s="14"/>
      <c r="E76" s="14"/>
      <c r="F76" s="14"/>
      <c r="G76" s="14"/>
      <c r="H76" s="14"/>
      <c r="I76" s="12"/>
    </row>
    <row r="77" customFormat="false" ht="13.5" hidden="false" customHeight="true" outlineLevel="0" collapsed="false">
      <c r="A77" s="12"/>
      <c r="B77" s="14"/>
      <c r="C77" s="14"/>
      <c r="D77" s="14"/>
      <c r="E77" s="14"/>
      <c r="F77" s="14"/>
      <c r="G77" s="14"/>
      <c r="H77" s="14"/>
      <c r="I77" s="12"/>
    </row>
    <row r="78" customFormat="false" ht="13.5" hidden="false" customHeight="true" outlineLevel="0" collapsed="false">
      <c r="A78" s="12"/>
      <c r="B78" s="14"/>
      <c r="C78" s="14"/>
      <c r="D78" s="14"/>
      <c r="E78" s="14"/>
      <c r="F78" s="14"/>
      <c r="G78" s="14"/>
      <c r="H78" s="14"/>
      <c r="I78" s="12"/>
    </row>
    <row r="79" customFormat="false" ht="13.5" hidden="false" customHeight="true" outlineLevel="0" collapsed="false">
      <c r="A79" s="12"/>
      <c r="B79" s="14"/>
      <c r="C79" s="14"/>
      <c r="D79" s="14"/>
      <c r="E79" s="14"/>
      <c r="F79" s="14"/>
      <c r="G79" s="14"/>
      <c r="H79" s="14"/>
      <c r="I79" s="12"/>
    </row>
    <row r="80" customFormat="false" ht="13.5" hidden="false" customHeight="true" outlineLevel="0" collapsed="false">
      <c r="A80" s="12"/>
      <c r="B80" s="14"/>
      <c r="C80" s="14"/>
      <c r="D80" s="14"/>
      <c r="E80" s="14"/>
      <c r="F80" s="14"/>
      <c r="G80" s="14"/>
      <c r="H80" s="14"/>
      <c r="I80" s="12"/>
    </row>
    <row r="81" customFormat="false" ht="13.5" hidden="false" customHeight="true" outlineLevel="0" collapsed="false">
      <c r="A81" s="12"/>
      <c r="B81" s="14"/>
      <c r="C81" s="14"/>
      <c r="D81" s="14"/>
      <c r="E81" s="14"/>
      <c r="F81" s="14"/>
      <c r="G81" s="14"/>
      <c r="H81" s="14"/>
      <c r="I81" s="12"/>
    </row>
    <row r="82" customFormat="false" ht="13.5" hidden="false" customHeight="true" outlineLevel="0" collapsed="false">
      <c r="A82" s="12"/>
      <c r="B82" s="14"/>
      <c r="C82" s="14"/>
      <c r="D82" s="14"/>
      <c r="E82" s="14"/>
      <c r="F82" s="14"/>
      <c r="G82" s="14"/>
      <c r="H82" s="14"/>
      <c r="I82" s="12"/>
    </row>
    <row r="83" customFormat="false" ht="13.5" hidden="false" customHeight="true" outlineLevel="0" collapsed="false">
      <c r="A83" s="12"/>
      <c r="B83" s="14"/>
      <c r="C83" s="14"/>
      <c r="D83" s="14"/>
      <c r="E83" s="14"/>
      <c r="F83" s="14"/>
      <c r="G83" s="14"/>
      <c r="H83" s="14"/>
      <c r="I83" s="12"/>
    </row>
    <row r="84" customFormat="false" ht="13.5" hidden="false" customHeight="true" outlineLevel="0" collapsed="false">
      <c r="A84" s="12"/>
      <c r="B84" s="14"/>
      <c r="C84" s="14"/>
      <c r="D84" s="14"/>
      <c r="E84" s="14"/>
      <c r="F84" s="14"/>
      <c r="G84" s="14"/>
      <c r="H84" s="14"/>
      <c r="I84" s="12"/>
    </row>
    <row r="85" customFormat="false" ht="13.5" hidden="false" customHeight="true" outlineLevel="0" collapsed="false">
      <c r="A85" s="12"/>
      <c r="B85" s="14"/>
      <c r="C85" s="14"/>
      <c r="D85" s="14"/>
      <c r="E85" s="14"/>
      <c r="F85" s="14"/>
      <c r="G85" s="14"/>
      <c r="H85" s="14"/>
      <c r="I85" s="12"/>
    </row>
    <row r="86" customFormat="false" ht="13.5" hidden="false" customHeight="true" outlineLevel="0" collapsed="false">
      <c r="A86" s="12"/>
      <c r="B86" s="14"/>
      <c r="C86" s="14"/>
      <c r="D86" s="14"/>
      <c r="E86" s="14"/>
      <c r="F86" s="14"/>
      <c r="G86" s="14"/>
      <c r="H86" s="14"/>
      <c r="I86" s="12"/>
    </row>
    <row r="87" customFormat="false" ht="13.5" hidden="false" customHeight="true" outlineLevel="0" collapsed="false">
      <c r="A87" s="12"/>
      <c r="B87" s="14"/>
      <c r="C87" s="14"/>
      <c r="D87" s="14"/>
      <c r="E87" s="14"/>
      <c r="F87" s="14"/>
      <c r="G87" s="14"/>
      <c r="H87" s="14"/>
      <c r="I87" s="12"/>
    </row>
    <row r="88" customFormat="false" ht="13.5" hidden="false" customHeight="true" outlineLevel="0" collapsed="false">
      <c r="A88" s="12"/>
      <c r="B88" s="14"/>
      <c r="C88" s="14"/>
      <c r="D88" s="14"/>
      <c r="E88" s="14"/>
      <c r="F88" s="14"/>
      <c r="G88" s="14"/>
      <c r="H88" s="14"/>
      <c r="I88" s="12"/>
    </row>
    <row r="89" customFormat="false" ht="13.5" hidden="false" customHeight="true" outlineLevel="0" collapsed="false">
      <c r="A89" s="12"/>
      <c r="B89" s="14"/>
      <c r="C89" s="14"/>
      <c r="D89" s="14"/>
      <c r="E89" s="14"/>
      <c r="F89" s="14"/>
      <c r="G89" s="14"/>
      <c r="H89" s="14"/>
      <c r="I89" s="12"/>
    </row>
    <row r="90" customFormat="false" ht="13.5" hidden="false" customHeight="true" outlineLevel="0" collapsed="false">
      <c r="A90" s="12"/>
      <c r="B90" s="14"/>
      <c r="C90" s="14"/>
      <c r="D90" s="14"/>
      <c r="E90" s="14"/>
      <c r="F90" s="14"/>
      <c r="G90" s="14"/>
      <c r="H90" s="14"/>
      <c r="I90" s="12"/>
    </row>
    <row r="91" customFormat="false" ht="13.5" hidden="false" customHeight="true" outlineLevel="0" collapsed="false">
      <c r="A91" s="12"/>
      <c r="B91" s="14"/>
      <c r="C91" s="14"/>
      <c r="D91" s="14"/>
      <c r="E91" s="14"/>
      <c r="F91" s="14"/>
      <c r="G91" s="14"/>
      <c r="H91" s="14"/>
      <c r="I91" s="12"/>
    </row>
    <row r="92" customFormat="false" ht="13.5" hidden="false" customHeight="true" outlineLevel="0" collapsed="false">
      <c r="A92" s="12"/>
      <c r="B92" s="14"/>
      <c r="C92" s="14"/>
      <c r="D92" s="14"/>
      <c r="E92" s="14"/>
      <c r="F92" s="14"/>
      <c r="G92" s="14"/>
      <c r="H92" s="14"/>
      <c r="I92" s="12"/>
    </row>
    <row r="93" customFormat="false" ht="13.5" hidden="false" customHeight="true" outlineLevel="0" collapsed="false">
      <c r="A93" s="12"/>
      <c r="B93" s="14"/>
      <c r="C93" s="14"/>
      <c r="D93" s="14"/>
      <c r="E93" s="14"/>
      <c r="F93" s="14"/>
      <c r="G93" s="14"/>
      <c r="H93" s="14"/>
      <c r="I93" s="12"/>
    </row>
    <row r="94" customFormat="false" ht="13.5" hidden="false" customHeight="true" outlineLevel="0" collapsed="false">
      <c r="A94" s="12"/>
      <c r="B94" s="14"/>
      <c r="C94" s="14"/>
      <c r="D94" s="14"/>
      <c r="E94" s="14"/>
      <c r="F94" s="14"/>
      <c r="G94" s="14"/>
      <c r="H94" s="14"/>
      <c r="I94" s="12"/>
    </row>
    <row r="95" customFormat="false" ht="13.5" hidden="false" customHeight="true" outlineLevel="0" collapsed="false">
      <c r="A95" s="12"/>
      <c r="B95" s="14"/>
      <c r="C95" s="14"/>
      <c r="D95" s="14"/>
      <c r="E95" s="14"/>
      <c r="F95" s="14"/>
      <c r="G95" s="14"/>
      <c r="H95" s="14"/>
      <c r="I95" s="12"/>
    </row>
    <row r="96" customFormat="false" ht="13.5" hidden="false" customHeight="true" outlineLevel="0" collapsed="false">
      <c r="A96" s="12"/>
      <c r="B96" s="14"/>
      <c r="C96" s="14"/>
      <c r="D96" s="14"/>
      <c r="E96" s="14"/>
      <c r="F96" s="14"/>
      <c r="G96" s="14"/>
      <c r="H96" s="14"/>
      <c r="I96" s="12"/>
    </row>
    <row r="97" customFormat="false" ht="13.5" hidden="false" customHeight="true" outlineLevel="0" collapsed="false">
      <c r="A97" s="12"/>
      <c r="B97" s="14"/>
      <c r="C97" s="14"/>
      <c r="D97" s="14"/>
      <c r="E97" s="14"/>
      <c r="F97" s="14"/>
      <c r="G97" s="14"/>
      <c r="H97" s="14"/>
      <c r="I97" s="12"/>
    </row>
    <row r="98" customFormat="false" ht="13.5" hidden="false" customHeight="true" outlineLevel="0" collapsed="false">
      <c r="A98" s="12"/>
      <c r="B98" s="14"/>
      <c r="C98" s="14"/>
      <c r="D98" s="14"/>
      <c r="E98" s="14"/>
      <c r="F98" s="14"/>
      <c r="G98" s="14"/>
      <c r="H98" s="14"/>
      <c r="I98" s="12"/>
    </row>
    <row r="99" customFormat="false" ht="13.5" hidden="false" customHeight="true" outlineLevel="0" collapsed="false">
      <c r="A99" s="12"/>
      <c r="B99" s="14"/>
      <c r="C99" s="14"/>
      <c r="D99" s="14"/>
      <c r="E99" s="14"/>
      <c r="F99" s="14"/>
      <c r="G99" s="14"/>
      <c r="H99" s="14"/>
      <c r="I99" s="12"/>
    </row>
    <row r="100" customFormat="false" ht="13.5" hidden="false" customHeight="true" outlineLevel="0" collapsed="false">
      <c r="A100" s="12"/>
      <c r="B100" s="14"/>
      <c r="C100" s="14"/>
      <c r="D100" s="14"/>
      <c r="E100" s="14"/>
      <c r="F100" s="14"/>
      <c r="G100" s="14"/>
      <c r="H100" s="14"/>
      <c r="I100" s="12"/>
    </row>
    <row r="101" customFormat="false" ht="13.5" hidden="false" customHeight="true" outlineLevel="0" collapsed="false">
      <c r="A101" s="12"/>
      <c r="B101" s="14"/>
      <c r="C101" s="14"/>
      <c r="D101" s="14"/>
      <c r="E101" s="14"/>
      <c r="F101" s="14"/>
      <c r="G101" s="14"/>
      <c r="H101" s="14"/>
      <c r="I101" s="12"/>
    </row>
    <row r="102" customFormat="false" ht="13.5" hidden="false" customHeight="true" outlineLevel="0" collapsed="false">
      <c r="A102" s="12"/>
      <c r="B102" s="14"/>
      <c r="C102" s="14"/>
      <c r="D102" s="14"/>
      <c r="E102" s="14"/>
      <c r="F102" s="14"/>
      <c r="G102" s="14"/>
      <c r="H102" s="14"/>
      <c r="I102" s="12"/>
    </row>
    <row r="103" customFormat="false" ht="13.5" hidden="false" customHeight="true" outlineLevel="0" collapsed="false">
      <c r="A103" s="12"/>
      <c r="B103" s="14"/>
      <c r="C103" s="14"/>
      <c r="D103" s="14"/>
      <c r="E103" s="14"/>
      <c r="F103" s="14"/>
      <c r="G103" s="14"/>
      <c r="H103" s="14"/>
      <c r="I103" s="12"/>
    </row>
    <row r="104" customFormat="false" ht="13.5" hidden="false" customHeight="true" outlineLevel="0" collapsed="false">
      <c r="A104" s="12"/>
      <c r="B104" s="14"/>
      <c r="C104" s="14"/>
      <c r="D104" s="14"/>
      <c r="E104" s="14"/>
      <c r="F104" s="14"/>
      <c r="G104" s="14"/>
      <c r="H104" s="14"/>
      <c r="I104" s="12"/>
    </row>
    <row r="105" customFormat="false" ht="13.5" hidden="false" customHeight="true" outlineLevel="0" collapsed="false">
      <c r="A105" s="12"/>
      <c r="B105" s="14"/>
      <c r="C105" s="14"/>
      <c r="D105" s="14"/>
      <c r="E105" s="14"/>
      <c r="F105" s="14"/>
      <c r="G105" s="14"/>
      <c r="H105" s="14"/>
      <c r="I105" s="12"/>
    </row>
    <row r="106" customFormat="false" ht="13.5" hidden="false" customHeight="true" outlineLevel="0" collapsed="false">
      <c r="A106" s="12"/>
      <c r="B106" s="14"/>
      <c r="C106" s="14"/>
      <c r="D106" s="14"/>
      <c r="E106" s="14"/>
      <c r="F106" s="14"/>
      <c r="G106" s="14"/>
      <c r="H106" s="14"/>
      <c r="I106" s="12"/>
    </row>
    <row r="107" customFormat="false" ht="13.5" hidden="false" customHeight="true" outlineLevel="0" collapsed="false">
      <c r="A107" s="12"/>
      <c r="B107" s="14"/>
      <c r="C107" s="14"/>
      <c r="D107" s="14"/>
      <c r="E107" s="14"/>
      <c r="F107" s="14"/>
      <c r="G107" s="14"/>
      <c r="H107" s="14"/>
      <c r="I107" s="12"/>
    </row>
    <row r="108" customFormat="false" ht="13.5" hidden="false" customHeight="true" outlineLevel="0" collapsed="false">
      <c r="A108" s="12"/>
      <c r="B108" s="14"/>
      <c r="C108" s="14"/>
      <c r="D108" s="14"/>
      <c r="E108" s="14"/>
      <c r="F108" s="14"/>
      <c r="G108" s="14"/>
      <c r="H108" s="14"/>
      <c r="I108" s="12"/>
    </row>
    <row r="109" customFormat="false" ht="13.5" hidden="false" customHeight="true" outlineLevel="0" collapsed="false">
      <c r="A109" s="12"/>
      <c r="B109" s="14"/>
      <c r="C109" s="14"/>
      <c r="D109" s="14"/>
      <c r="E109" s="14"/>
      <c r="F109" s="14"/>
      <c r="G109" s="14"/>
      <c r="H109" s="14"/>
      <c r="I109" s="12"/>
    </row>
    <row r="110" customFormat="false" ht="13.5" hidden="false" customHeight="true" outlineLevel="0" collapsed="false">
      <c r="A110" s="12"/>
      <c r="B110" s="14"/>
      <c r="C110" s="14"/>
      <c r="D110" s="14"/>
      <c r="E110" s="14"/>
      <c r="F110" s="14"/>
      <c r="G110" s="14"/>
      <c r="H110" s="14"/>
      <c r="I110" s="12"/>
    </row>
    <row r="111" customFormat="false" ht="13.5" hidden="false" customHeight="true" outlineLevel="0" collapsed="false">
      <c r="A111" s="12"/>
      <c r="B111" s="14"/>
      <c r="C111" s="14"/>
      <c r="D111" s="14"/>
      <c r="E111" s="14"/>
      <c r="F111" s="14"/>
      <c r="G111" s="14"/>
      <c r="H111" s="14"/>
      <c r="I111" s="12"/>
    </row>
    <row r="112" customFormat="false" ht="13.5" hidden="false" customHeight="true" outlineLevel="0" collapsed="false">
      <c r="A112" s="12"/>
      <c r="B112" s="14"/>
      <c r="C112" s="14"/>
      <c r="D112" s="14"/>
      <c r="E112" s="14"/>
      <c r="F112" s="14"/>
      <c r="G112" s="14"/>
      <c r="H112" s="14"/>
      <c r="I112" s="12"/>
    </row>
    <row r="113" customFormat="false" ht="13.5" hidden="false" customHeight="true" outlineLevel="0" collapsed="false">
      <c r="A113" s="12"/>
      <c r="B113" s="14"/>
      <c r="C113" s="14"/>
      <c r="D113" s="14"/>
      <c r="E113" s="14"/>
      <c r="F113" s="14"/>
      <c r="G113" s="14"/>
      <c r="H113" s="14"/>
      <c r="I113" s="12"/>
    </row>
    <row r="114" customFormat="false" ht="13.5" hidden="false" customHeight="true" outlineLevel="0" collapsed="false">
      <c r="A114" s="12"/>
      <c r="B114" s="14"/>
      <c r="C114" s="14"/>
      <c r="D114" s="14"/>
      <c r="E114" s="14"/>
      <c r="F114" s="14"/>
      <c r="G114" s="14"/>
      <c r="H114" s="14"/>
      <c r="I114" s="12"/>
    </row>
    <row r="115" customFormat="false" ht="13.5" hidden="false" customHeight="true" outlineLevel="0" collapsed="false">
      <c r="A115" s="12"/>
      <c r="B115" s="14"/>
      <c r="C115" s="14"/>
      <c r="D115" s="14"/>
      <c r="E115" s="14"/>
      <c r="F115" s="14"/>
      <c r="G115" s="14"/>
      <c r="H115" s="14"/>
      <c r="I115" s="12"/>
    </row>
    <row r="116" customFormat="false" ht="13.5" hidden="false" customHeight="true" outlineLevel="0" collapsed="false">
      <c r="A116" s="12"/>
      <c r="B116" s="14"/>
      <c r="C116" s="14"/>
      <c r="D116" s="14"/>
      <c r="E116" s="14"/>
      <c r="F116" s="14"/>
      <c r="G116" s="14"/>
      <c r="H116" s="14"/>
      <c r="I116" s="12"/>
    </row>
    <row r="117" customFormat="false" ht="13.5" hidden="false" customHeight="true" outlineLevel="0" collapsed="false">
      <c r="A117" s="12"/>
      <c r="B117" s="14"/>
      <c r="C117" s="14"/>
      <c r="D117" s="14"/>
      <c r="E117" s="14"/>
      <c r="F117" s="14"/>
      <c r="G117" s="14"/>
      <c r="H117" s="14"/>
      <c r="I117" s="12"/>
    </row>
    <row r="118" customFormat="false" ht="13.5" hidden="false" customHeight="true" outlineLevel="0" collapsed="false">
      <c r="A118" s="12"/>
      <c r="B118" s="14"/>
      <c r="C118" s="14"/>
      <c r="D118" s="14"/>
      <c r="E118" s="14"/>
      <c r="F118" s="14"/>
      <c r="G118" s="14"/>
      <c r="H118" s="14"/>
      <c r="I118" s="12"/>
    </row>
    <row r="119" customFormat="false" ht="13.5" hidden="false" customHeight="true" outlineLevel="0" collapsed="false">
      <c r="A119" s="12"/>
      <c r="B119" s="14"/>
      <c r="C119" s="14"/>
      <c r="D119" s="14"/>
      <c r="E119" s="14"/>
      <c r="F119" s="14"/>
      <c r="G119" s="14"/>
      <c r="H119" s="14"/>
      <c r="I119" s="12"/>
    </row>
    <row r="120" customFormat="false" ht="13.5" hidden="false" customHeight="true" outlineLevel="0" collapsed="false">
      <c r="A120" s="12"/>
      <c r="B120" s="14"/>
      <c r="C120" s="14"/>
      <c r="D120" s="14"/>
      <c r="E120" s="14"/>
      <c r="F120" s="14"/>
      <c r="G120" s="14"/>
      <c r="H120" s="14"/>
      <c r="I120" s="12"/>
    </row>
    <row r="121" customFormat="false" ht="13.5" hidden="false" customHeight="true" outlineLevel="0" collapsed="false">
      <c r="A121" s="12"/>
      <c r="B121" s="14"/>
      <c r="C121" s="14"/>
      <c r="D121" s="14"/>
      <c r="E121" s="14"/>
      <c r="F121" s="14"/>
      <c r="G121" s="14"/>
      <c r="H121" s="14"/>
      <c r="I121" s="12"/>
    </row>
    <row r="122" customFormat="false" ht="13.5" hidden="false" customHeight="true" outlineLevel="0" collapsed="false">
      <c r="A122" s="12"/>
      <c r="B122" s="14"/>
      <c r="C122" s="14"/>
      <c r="D122" s="14"/>
      <c r="E122" s="14"/>
      <c r="F122" s="14"/>
      <c r="G122" s="14"/>
      <c r="H122" s="14"/>
      <c r="I122" s="12"/>
    </row>
    <row r="123" customFormat="false" ht="13.5" hidden="false" customHeight="true" outlineLevel="0" collapsed="false">
      <c r="A123" s="12"/>
      <c r="B123" s="14"/>
      <c r="C123" s="14"/>
      <c r="D123" s="14"/>
      <c r="E123" s="14"/>
      <c r="F123" s="14"/>
      <c r="G123" s="14"/>
      <c r="H123" s="14"/>
      <c r="I123" s="12"/>
    </row>
    <row r="124" customFormat="false" ht="13.5" hidden="false" customHeight="true" outlineLevel="0" collapsed="false">
      <c r="A124" s="12"/>
      <c r="B124" s="14"/>
      <c r="C124" s="14"/>
      <c r="D124" s="14"/>
      <c r="E124" s="14"/>
      <c r="F124" s="14"/>
      <c r="G124" s="14"/>
      <c r="H124" s="14"/>
      <c r="I124" s="12"/>
    </row>
    <row r="125" customFormat="false" ht="13.5" hidden="false" customHeight="true" outlineLevel="0" collapsed="false">
      <c r="A125" s="12"/>
      <c r="B125" s="14"/>
      <c r="C125" s="14"/>
      <c r="D125" s="14"/>
      <c r="E125" s="14"/>
      <c r="F125" s="14"/>
      <c r="G125" s="14"/>
      <c r="H125" s="14"/>
      <c r="I125" s="12"/>
    </row>
    <row r="126" customFormat="false" ht="13.5" hidden="false" customHeight="true" outlineLevel="0" collapsed="false">
      <c r="A126" s="12"/>
      <c r="B126" s="14"/>
      <c r="C126" s="14"/>
      <c r="D126" s="14"/>
      <c r="E126" s="14"/>
      <c r="F126" s="14"/>
      <c r="G126" s="14"/>
      <c r="H126" s="14"/>
      <c r="I126" s="12"/>
    </row>
    <row r="127" customFormat="false" ht="13.5" hidden="false" customHeight="true" outlineLevel="0" collapsed="false">
      <c r="A127" s="12"/>
      <c r="B127" s="14"/>
      <c r="C127" s="14"/>
      <c r="D127" s="14"/>
      <c r="E127" s="14"/>
      <c r="F127" s="14"/>
      <c r="G127" s="14"/>
      <c r="H127" s="14"/>
      <c r="I127" s="12"/>
    </row>
    <row r="128" customFormat="false" ht="13.5" hidden="false" customHeight="true" outlineLevel="0" collapsed="false">
      <c r="A128" s="12"/>
      <c r="B128" s="14"/>
      <c r="C128" s="14"/>
      <c r="D128" s="14"/>
      <c r="E128" s="14"/>
      <c r="F128" s="14"/>
      <c r="G128" s="14"/>
      <c r="H128" s="14"/>
      <c r="I128" s="12"/>
    </row>
    <row r="129" customFormat="false" ht="13.5" hidden="false" customHeight="true" outlineLevel="0" collapsed="false">
      <c r="A129" s="12"/>
      <c r="B129" s="14"/>
      <c r="C129" s="14"/>
      <c r="D129" s="14"/>
      <c r="E129" s="14"/>
      <c r="F129" s="14"/>
      <c r="G129" s="14"/>
      <c r="H129" s="14"/>
      <c r="I129" s="12"/>
    </row>
    <row r="130" customFormat="false" ht="13.5" hidden="false" customHeight="true" outlineLevel="0" collapsed="false">
      <c r="A130" s="12"/>
      <c r="B130" s="14"/>
      <c r="C130" s="14"/>
      <c r="D130" s="14"/>
      <c r="E130" s="14"/>
      <c r="F130" s="14"/>
      <c r="G130" s="14"/>
      <c r="H130" s="14"/>
      <c r="I130" s="12"/>
    </row>
    <row r="131" customFormat="false" ht="13.5" hidden="false" customHeight="true" outlineLevel="0" collapsed="false">
      <c r="A131" s="12"/>
      <c r="B131" s="14"/>
      <c r="C131" s="14"/>
      <c r="D131" s="14"/>
      <c r="E131" s="14"/>
      <c r="F131" s="14"/>
      <c r="G131" s="14"/>
      <c r="H131" s="14"/>
      <c r="I131" s="12"/>
    </row>
    <row r="132" customFormat="false" ht="13.5" hidden="false" customHeight="true" outlineLevel="0" collapsed="false">
      <c r="A132" s="12"/>
      <c r="B132" s="14"/>
      <c r="C132" s="14"/>
      <c r="D132" s="14"/>
      <c r="E132" s="14"/>
      <c r="F132" s="14"/>
      <c r="G132" s="14"/>
      <c r="H132" s="14"/>
      <c r="I132" s="12"/>
    </row>
    <row r="133" customFormat="false" ht="13.5" hidden="false" customHeight="true" outlineLevel="0" collapsed="false">
      <c r="A133" s="12"/>
      <c r="B133" s="14"/>
      <c r="C133" s="14"/>
      <c r="D133" s="14"/>
      <c r="E133" s="14"/>
      <c r="F133" s="14"/>
      <c r="G133" s="14"/>
      <c r="H133" s="14"/>
      <c r="I133" s="12"/>
    </row>
    <row r="134" customFormat="false" ht="13.5" hidden="false" customHeight="true" outlineLevel="0" collapsed="false">
      <c r="A134" s="12"/>
      <c r="B134" s="14"/>
      <c r="C134" s="14"/>
      <c r="D134" s="14"/>
      <c r="E134" s="14"/>
      <c r="F134" s="14"/>
      <c r="G134" s="14"/>
      <c r="H134" s="14"/>
      <c r="I134" s="12"/>
    </row>
    <row r="135" customFormat="false" ht="13.5" hidden="false" customHeight="true" outlineLevel="0" collapsed="false">
      <c r="A135" s="12"/>
      <c r="B135" s="14"/>
      <c r="C135" s="14"/>
      <c r="D135" s="14"/>
      <c r="E135" s="14"/>
      <c r="F135" s="14"/>
      <c r="G135" s="14"/>
      <c r="H135" s="14"/>
      <c r="I135" s="12"/>
    </row>
    <row r="136" customFormat="false" ht="13.5" hidden="false" customHeight="true" outlineLevel="0" collapsed="false">
      <c r="A136" s="12"/>
      <c r="B136" s="14"/>
      <c r="C136" s="14"/>
      <c r="D136" s="14"/>
      <c r="E136" s="14"/>
      <c r="F136" s="14"/>
      <c r="G136" s="14"/>
      <c r="H136" s="14"/>
      <c r="I136" s="12"/>
    </row>
    <row r="137" customFormat="false" ht="13.5" hidden="false" customHeight="true" outlineLevel="0" collapsed="false">
      <c r="A137" s="12"/>
      <c r="B137" s="14"/>
      <c r="C137" s="14"/>
      <c r="D137" s="14"/>
      <c r="E137" s="14"/>
      <c r="F137" s="14"/>
      <c r="G137" s="14"/>
      <c r="H137" s="14"/>
      <c r="I137" s="12"/>
    </row>
    <row r="138" customFormat="false" ht="13.5" hidden="false" customHeight="true" outlineLevel="0" collapsed="false">
      <c r="A138" s="12"/>
      <c r="B138" s="14"/>
      <c r="C138" s="14"/>
      <c r="D138" s="14"/>
      <c r="E138" s="14"/>
      <c r="F138" s="14"/>
      <c r="G138" s="14"/>
      <c r="H138" s="14"/>
      <c r="I138" s="12"/>
    </row>
    <row r="139" customFormat="false" ht="13.5" hidden="false" customHeight="true" outlineLevel="0" collapsed="false">
      <c r="A139" s="12"/>
      <c r="B139" s="14"/>
      <c r="C139" s="14"/>
      <c r="D139" s="14"/>
      <c r="E139" s="14"/>
      <c r="F139" s="14"/>
      <c r="G139" s="14"/>
      <c r="H139" s="14"/>
      <c r="I139" s="12"/>
    </row>
    <row r="140" customFormat="false" ht="13.5" hidden="false" customHeight="true" outlineLevel="0" collapsed="false">
      <c r="A140" s="12"/>
      <c r="B140" s="14"/>
      <c r="C140" s="14"/>
      <c r="D140" s="14"/>
      <c r="E140" s="14"/>
      <c r="F140" s="14"/>
      <c r="G140" s="14"/>
      <c r="H140" s="14"/>
      <c r="I140" s="12"/>
    </row>
    <row r="141" customFormat="false" ht="13.5" hidden="false" customHeight="true" outlineLevel="0" collapsed="false">
      <c r="A141" s="12"/>
      <c r="B141" s="14"/>
      <c r="C141" s="14"/>
      <c r="D141" s="14"/>
      <c r="E141" s="14"/>
      <c r="F141" s="14"/>
      <c r="G141" s="14"/>
      <c r="H141" s="14"/>
      <c r="I141" s="12"/>
    </row>
    <row r="142" customFormat="false" ht="13.5" hidden="false" customHeight="true" outlineLevel="0" collapsed="false">
      <c r="A142" s="12"/>
      <c r="B142" s="14"/>
      <c r="C142" s="14"/>
      <c r="D142" s="14"/>
      <c r="E142" s="14"/>
      <c r="F142" s="14"/>
      <c r="G142" s="14"/>
      <c r="H142" s="14"/>
      <c r="I142" s="12"/>
    </row>
    <row r="143" customFormat="false" ht="13.5" hidden="false" customHeight="true" outlineLevel="0" collapsed="false">
      <c r="A143" s="12"/>
      <c r="B143" s="14"/>
      <c r="C143" s="14"/>
      <c r="D143" s="14"/>
      <c r="E143" s="14"/>
      <c r="F143" s="14"/>
      <c r="G143" s="14"/>
      <c r="H143" s="14"/>
      <c r="I143" s="12"/>
    </row>
    <row r="144" customFormat="false" ht="13.5" hidden="false" customHeight="true" outlineLevel="0" collapsed="false">
      <c r="A144" s="12"/>
      <c r="B144" s="14"/>
      <c r="C144" s="14"/>
      <c r="D144" s="14"/>
      <c r="E144" s="14"/>
      <c r="F144" s="14"/>
      <c r="G144" s="14"/>
      <c r="H144" s="14"/>
      <c r="I144" s="12"/>
    </row>
    <row r="145" customFormat="false" ht="13.5" hidden="false" customHeight="true" outlineLevel="0" collapsed="false">
      <c r="A145" s="12"/>
      <c r="B145" s="14"/>
      <c r="C145" s="14"/>
      <c r="D145" s="14"/>
      <c r="E145" s="14"/>
      <c r="F145" s="14"/>
      <c r="G145" s="14"/>
      <c r="H145" s="14"/>
      <c r="I145" s="12"/>
    </row>
    <row r="146" customFormat="false" ht="13.5" hidden="false" customHeight="true" outlineLevel="0" collapsed="false">
      <c r="A146" s="12"/>
      <c r="B146" s="14"/>
      <c r="C146" s="14"/>
      <c r="D146" s="14"/>
      <c r="E146" s="14"/>
      <c r="F146" s="14"/>
      <c r="G146" s="14"/>
      <c r="H146" s="14"/>
      <c r="I146" s="12"/>
    </row>
    <row r="147" customFormat="false" ht="13.5" hidden="false" customHeight="true" outlineLevel="0" collapsed="false">
      <c r="A147" s="12"/>
      <c r="B147" s="14"/>
      <c r="C147" s="14"/>
      <c r="D147" s="14"/>
      <c r="E147" s="14"/>
      <c r="F147" s="14"/>
      <c r="G147" s="14"/>
      <c r="H147" s="14"/>
      <c r="I147" s="12"/>
    </row>
    <row r="148" customFormat="false" ht="13.5" hidden="false" customHeight="true" outlineLevel="0" collapsed="false">
      <c r="A148" s="12"/>
      <c r="B148" s="14"/>
      <c r="C148" s="14"/>
      <c r="D148" s="14"/>
      <c r="E148" s="14"/>
      <c r="F148" s="14"/>
      <c r="G148" s="14"/>
      <c r="H148" s="14"/>
      <c r="I148" s="12"/>
    </row>
    <row r="149" customFormat="false" ht="13.5" hidden="false" customHeight="true" outlineLevel="0" collapsed="false">
      <c r="A149" s="12"/>
      <c r="B149" s="14"/>
      <c r="C149" s="14"/>
      <c r="D149" s="14"/>
      <c r="E149" s="14"/>
      <c r="F149" s="14"/>
      <c r="G149" s="14"/>
      <c r="H149" s="14"/>
      <c r="I149" s="12"/>
    </row>
    <row r="150" customFormat="false" ht="13.5" hidden="false" customHeight="true" outlineLevel="0" collapsed="false">
      <c r="A150" s="12"/>
      <c r="B150" s="14"/>
      <c r="C150" s="14"/>
      <c r="D150" s="14"/>
      <c r="E150" s="14"/>
      <c r="F150" s="14"/>
      <c r="G150" s="14"/>
      <c r="H150" s="14"/>
      <c r="I150" s="12"/>
    </row>
    <row r="151" customFormat="false" ht="13.5" hidden="false" customHeight="true" outlineLevel="0" collapsed="false">
      <c r="A151" s="12"/>
      <c r="B151" s="14"/>
      <c r="C151" s="14"/>
      <c r="D151" s="14"/>
      <c r="E151" s="14"/>
      <c r="F151" s="14"/>
      <c r="G151" s="14"/>
      <c r="H151" s="14"/>
      <c r="I151" s="12"/>
    </row>
    <row r="152" customFormat="false" ht="13.5" hidden="false" customHeight="true" outlineLevel="0" collapsed="false">
      <c r="A152" s="12"/>
      <c r="B152" s="14"/>
      <c r="C152" s="14"/>
      <c r="D152" s="14"/>
      <c r="E152" s="14"/>
      <c r="F152" s="14"/>
      <c r="G152" s="14"/>
      <c r="H152" s="14"/>
      <c r="I152" s="12"/>
    </row>
    <row r="153" customFormat="false" ht="13.5" hidden="false" customHeight="true" outlineLevel="0" collapsed="false">
      <c r="A153" s="12"/>
      <c r="B153" s="14"/>
      <c r="C153" s="14"/>
      <c r="D153" s="14"/>
      <c r="E153" s="14"/>
      <c r="F153" s="14"/>
      <c r="G153" s="14"/>
      <c r="H153" s="14"/>
      <c r="I153" s="12"/>
    </row>
    <row r="154" customFormat="false" ht="13.5" hidden="false" customHeight="true" outlineLevel="0" collapsed="false">
      <c r="A154" s="12"/>
      <c r="B154" s="14"/>
      <c r="C154" s="14"/>
      <c r="D154" s="14"/>
      <c r="E154" s="14"/>
      <c r="F154" s="14"/>
      <c r="G154" s="14"/>
      <c r="H154" s="14"/>
      <c r="I154" s="12"/>
    </row>
    <row r="155" customFormat="false" ht="13.5" hidden="false" customHeight="true" outlineLevel="0" collapsed="false">
      <c r="A155" s="12"/>
      <c r="B155" s="14"/>
      <c r="C155" s="14"/>
      <c r="D155" s="14"/>
      <c r="E155" s="14"/>
      <c r="F155" s="14"/>
      <c r="G155" s="14"/>
      <c r="H155" s="14"/>
      <c r="I155" s="12"/>
    </row>
    <row r="156" customFormat="false" ht="13.5" hidden="false" customHeight="true" outlineLevel="0" collapsed="false">
      <c r="A156" s="12"/>
      <c r="B156" s="14"/>
      <c r="C156" s="14"/>
      <c r="D156" s="14"/>
      <c r="E156" s="14"/>
      <c r="F156" s="14"/>
      <c r="G156" s="14"/>
      <c r="H156" s="14"/>
      <c r="I156" s="12"/>
    </row>
    <row r="157" customFormat="false" ht="13.5" hidden="false" customHeight="true" outlineLevel="0" collapsed="false">
      <c r="A157" s="12"/>
      <c r="B157" s="14"/>
      <c r="C157" s="14"/>
      <c r="D157" s="14"/>
      <c r="E157" s="14"/>
      <c r="F157" s="14"/>
      <c r="G157" s="14"/>
      <c r="H157" s="14"/>
      <c r="I157" s="12"/>
    </row>
    <row r="158" customFormat="false" ht="13.5" hidden="false" customHeight="true" outlineLevel="0" collapsed="false">
      <c r="A158" s="12"/>
      <c r="B158" s="14"/>
      <c r="C158" s="14"/>
      <c r="D158" s="14"/>
      <c r="E158" s="14"/>
      <c r="F158" s="14"/>
      <c r="G158" s="14"/>
      <c r="H158" s="14"/>
      <c r="I158" s="12"/>
    </row>
    <row r="159" customFormat="false" ht="13.5" hidden="false" customHeight="true" outlineLevel="0" collapsed="false">
      <c r="A159" s="12"/>
      <c r="B159" s="14"/>
      <c r="C159" s="14"/>
      <c r="D159" s="14"/>
      <c r="E159" s="14"/>
      <c r="F159" s="14"/>
      <c r="G159" s="14"/>
      <c r="H159" s="14"/>
      <c r="I159" s="12"/>
    </row>
    <row r="160" customFormat="false" ht="13.5" hidden="false" customHeight="true" outlineLevel="0" collapsed="false">
      <c r="A160" s="12"/>
      <c r="B160" s="14"/>
      <c r="C160" s="14"/>
      <c r="D160" s="14"/>
      <c r="E160" s="14"/>
      <c r="F160" s="14"/>
      <c r="G160" s="14"/>
      <c r="H160" s="14"/>
      <c r="I160" s="12"/>
    </row>
    <row r="161" customFormat="false" ht="13.5" hidden="false" customHeight="true" outlineLevel="0" collapsed="false">
      <c r="A161" s="12"/>
      <c r="B161" s="14"/>
      <c r="C161" s="14"/>
      <c r="D161" s="14"/>
      <c r="E161" s="14"/>
      <c r="F161" s="14"/>
      <c r="G161" s="14"/>
      <c r="H161" s="14"/>
      <c r="I161" s="12"/>
    </row>
    <row r="162" customFormat="false" ht="13.5" hidden="false" customHeight="true" outlineLevel="0" collapsed="false">
      <c r="A162" s="12"/>
      <c r="B162" s="14"/>
      <c r="C162" s="14"/>
      <c r="D162" s="14"/>
      <c r="E162" s="14"/>
      <c r="F162" s="14"/>
      <c r="G162" s="14"/>
      <c r="H162" s="14"/>
      <c r="I162" s="12"/>
    </row>
    <row r="163" customFormat="false" ht="13.5" hidden="false" customHeight="true" outlineLevel="0" collapsed="false">
      <c r="A163" s="12"/>
      <c r="B163" s="14"/>
      <c r="C163" s="14"/>
      <c r="D163" s="14"/>
      <c r="E163" s="14"/>
      <c r="F163" s="14"/>
      <c r="G163" s="14"/>
      <c r="H163" s="14"/>
      <c r="I163" s="12"/>
    </row>
    <row r="164" customFormat="false" ht="13.5" hidden="false" customHeight="true" outlineLevel="0" collapsed="false">
      <c r="A164" s="12"/>
      <c r="B164" s="14"/>
      <c r="C164" s="14"/>
      <c r="D164" s="14"/>
      <c r="E164" s="14"/>
      <c r="F164" s="14"/>
      <c r="G164" s="14"/>
      <c r="H164" s="14"/>
      <c r="I164" s="12"/>
    </row>
    <row r="165" customFormat="false" ht="13.5" hidden="false" customHeight="true" outlineLevel="0" collapsed="false">
      <c r="A165" s="12"/>
      <c r="B165" s="14"/>
      <c r="C165" s="14"/>
      <c r="D165" s="14"/>
      <c r="E165" s="14"/>
      <c r="F165" s="14"/>
      <c r="G165" s="14"/>
      <c r="H165" s="14"/>
      <c r="I165" s="12"/>
    </row>
    <row r="166" customFormat="false" ht="13.5" hidden="false" customHeight="true" outlineLevel="0" collapsed="false">
      <c r="A166" s="12"/>
      <c r="B166" s="14"/>
      <c r="C166" s="14"/>
      <c r="D166" s="14"/>
      <c r="E166" s="14"/>
      <c r="F166" s="14"/>
      <c r="G166" s="14"/>
      <c r="H166" s="14"/>
      <c r="I166" s="12"/>
    </row>
    <row r="167" customFormat="false" ht="13.5" hidden="false" customHeight="true" outlineLevel="0" collapsed="false">
      <c r="A167" s="12"/>
      <c r="B167" s="14"/>
      <c r="C167" s="14"/>
      <c r="D167" s="14"/>
      <c r="E167" s="14"/>
      <c r="F167" s="14"/>
      <c r="G167" s="14"/>
      <c r="H167" s="14"/>
      <c r="I167" s="12"/>
    </row>
    <row r="168" customFormat="false" ht="13.5" hidden="false" customHeight="true" outlineLevel="0" collapsed="false">
      <c r="A168" s="12"/>
      <c r="B168" s="14"/>
      <c r="C168" s="14"/>
      <c r="D168" s="14"/>
      <c r="E168" s="14"/>
      <c r="F168" s="14"/>
      <c r="G168" s="14"/>
      <c r="H168" s="14"/>
      <c r="I168" s="12"/>
    </row>
    <row r="169" customFormat="false" ht="13.5" hidden="false" customHeight="true" outlineLevel="0" collapsed="false">
      <c r="A169" s="12"/>
      <c r="B169" s="14"/>
      <c r="C169" s="14"/>
      <c r="D169" s="14"/>
      <c r="E169" s="14"/>
      <c r="F169" s="14"/>
      <c r="G169" s="14"/>
      <c r="H169" s="14"/>
      <c r="I169" s="12"/>
    </row>
    <row r="170" customFormat="false" ht="13.5" hidden="false" customHeight="true" outlineLevel="0" collapsed="false">
      <c r="A170" s="12"/>
      <c r="B170" s="14"/>
      <c r="C170" s="14"/>
      <c r="D170" s="14"/>
      <c r="E170" s="14"/>
      <c r="F170" s="14"/>
      <c r="G170" s="14"/>
      <c r="H170" s="14"/>
      <c r="I170" s="12"/>
    </row>
    <row r="171" customFormat="false" ht="13.5" hidden="false" customHeight="true" outlineLevel="0" collapsed="false">
      <c r="A171" s="12"/>
      <c r="B171" s="14"/>
      <c r="C171" s="14"/>
      <c r="D171" s="14"/>
      <c r="E171" s="14"/>
      <c r="F171" s="14"/>
      <c r="G171" s="14"/>
      <c r="H171" s="14"/>
      <c r="I171" s="12"/>
    </row>
    <row r="172" customFormat="false" ht="13.5" hidden="false" customHeight="true" outlineLevel="0" collapsed="false">
      <c r="A172" s="12"/>
      <c r="B172" s="14"/>
      <c r="C172" s="14"/>
      <c r="D172" s="14"/>
      <c r="E172" s="14"/>
      <c r="F172" s="14"/>
      <c r="G172" s="14"/>
      <c r="H172" s="14"/>
      <c r="I172" s="12"/>
    </row>
    <row r="173" customFormat="false" ht="13.5" hidden="false" customHeight="true" outlineLevel="0" collapsed="false">
      <c r="A173" s="12"/>
      <c r="B173" s="14"/>
      <c r="C173" s="14"/>
      <c r="D173" s="14"/>
      <c r="E173" s="14"/>
      <c r="F173" s="14"/>
      <c r="G173" s="14"/>
      <c r="H173" s="14"/>
      <c r="I173" s="12"/>
    </row>
    <row r="174" customFormat="false" ht="13.5" hidden="false" customHeight="true" outlineLevel="0" collapsed="false">
      <c r="A174" s="12"/>
      <c r="B174" s="14"/>
      <c r="C174" s="14"/>
      <c r="D174" s="14"/>
      <c r="E174" s="14"/>
      <c r="F174" s="14"/>
      <c r="G174" s="14"/>
      <c r="H174" s="14"/>
      <c r="I174" s="12"/>
    </row>
    <row r="175" customFormat="false" ht="13.5" hidden="false" customHeight="true" outlineLevel="0" collapsed="false">
      <c r="A175" s="12"/>
      <c r="B175" s="14"/>
      <c r="C175" s="14"/>
      <c r="D175" s="14"/>
      <c r="E175" s="14"/>
      <c r="F175" s="14"/>
      <c r="G175" s="14"/>
      <c r="H175" s="14"/>
      <c r="I175" s="12"/>
    </row>
    <row r="176" customFormat="false" ht="13.5" hidden="false" customHeight="true" outlineLevel="0" collapsed="false">
      <c r="A176" s="12"/>
      <c r="B176" s="14"/>
      <c r="C176" s="14"/>
      <c r="D176" s="14"/>
      <c r="E176" s="14"/>
      <c r="F176" s="14"/>
      <c r="G176" s="14"/>
      <c r="H176" s="14"/>
      <c r="I176" s="12"/>
    </row>
    <row r="177" customFormat="false" ht="13.5" hidden="false" customHeight="true" outlineLevel="0" collapsed="false">
      <c r="A177" s="12"/>
      <c r="B177" s="14"/>
      <c r="C177" s="14"/>
      <c r="D177" s="14"/>
      <c r="E177" s="14"/>
      <c r="F177" s="14"/>
      <c r="G177" s="14"/>
      <c r="H177" s="14"/>
      <c r="I177" s="12"/>
    </row>
    <row r="178" customFormat="false" ht="13.5" hidden="false" customHeight="true" outlineLevel="0" collapsed="false">
      <c r="A178" s="12"/>
      <c r="B178" s="14"/>
      <c r="C178" s="14"/>
      <c r="D178" s="14"/>
      <c r="E178" s="14"/>
      <c r="F178" s="14"/>
      <c r="G178" s="14"/>
      <c r="H178" s="14"/>
      <c r="I178" s="12"/>
    </row>
    <row r="179" customFormat="false" ht="13.5" hidden="false" customHeight="true" outlineLevel="0" collapsed="false">
      <c r="A179" s="12"/>
      <c r="B179" s="14"/>
      <c r="C179" s="14"/>
      <c r="D179" s="14"/>
      <c r="E179" s="14"/>
      <c r="F179" s="14"/>
      <c r="G179" s="14"/>
      <c r="H179" s="14"/>
      <c r="I179" s="12"/>
    </row>
    <row r="180" customFormat="false" ht="13.5" hidden="false" customHeight="true" outlineLevel="0" collapsed="false">
      <c r="A180" s="12"/>
      <c r="B180" s="14"/>
      <c r="C180" s="14"/>
      <c r="D180" s="14"/>
      <c r="E180" s="14"/>
      <c r="F180" s="14"/>
      <c r="G180" s="14"/>
      <c r="H180" s="14"/>
      <c r="I180" s="12"/>
    </row>
    <row r="181" customFormat="false" ht="13.5" hidden="false" customHeight="true" outlineLevel="0" collapsed="false">
      <c r="A181" s="12"/>
      <c r="B181" s="14"/>
      <c r="C181" s="14"/>
      <c r="D181" s="14"/>
      <c r="E181" s="14"/>
      <c r="F181" s="14"/>
      <c r="G181" s="14"/>
      <c r="H181" s="14"/>
      <c r="I181" s="12"/>
    </row>
    <row r="182" customFormat="false" ht="13.5" hidden="false" customHeight="true" outlineLevel="0" collapsed="false">
      <c r="A182" s="12"/>
      <c r="B182" s="14"/>
      <c r="C182" s="14"/>
      <c r="D182" s="14"/>
      <c r="E182" s="14"/>
      <c r="F182" s="14"/>
      <c r="G182" s="14"/>
      <c r="H182" s="14"/>
      <c r="I182" s="12"/>
    </row>
    <row r="183" customFormat="false" ht="13.5" hidden="false" customHeight="true" outlineLevel="0" collapsed="false">
      <c r="A183" s="12"/>
      <c r="B183" s="14"/>
      <c r="C183" s="14"/>
      <c r="D183" s="14"/>
      <c r="E183" s="14"/>
      <c r="F183" s="14"/>
      <c r="G183" s="14"/>
      <c r="H183" s="14"/>
      <c r="I183" s="12"/>
    </row>
    <row r="184" customFormat="false" ht="13.5" hidden="false" customHeight="true" outlineLevel="0" collapsed="false">
      <c r="A184" s="12"/>
      <c r="B184" s="14"/>
      <c r="C184" s="14"/>
      <c r="D184" s="14"/>
      <c r="E184" s="14"/>
      <c r="F184" s="14"/>
      <c r="G184" s="14"/>
      <c r="H184" s="14"/>
      <c r="I184" s="12"/>
    </row>
    <row r="185" customFormat="false" ht="13.5" hidden="false" customHeight="true" outlineLevel="0" collapsed="false">
      <c r="A185" s="12"/>
      <c r="B185" s="14"/>
      <c r="C185" s="14"/>
      <c r="D185" s="14"/>
      <c r="E185" s="14"/>
      <c r="F185" s="14"/>
      <c r="G185" s="14"/>
      <c r="H185" s="14"/>
      <c r="I185" s="12"/>
    </row>
    <row r="186" customFormat="false" ht="13.5" hidden="false" customHeight="true" outlineLevel="0" collapsed="false">
      <c r="A186" s="12"/>
      <c r="B186" s="14"/>
      <c r="C186" s="14"/>
      <c r="D186" s="14"/>
      <c r="E186" s="14"/>
      <c r="F186" s="14"/>
      <c r="G186" s="14"/>
      <c r="H186" s="14"/>
      <c r="I186" s="12"/>
    </row>
    <row r="187" customFormat="false" ht="13.5" hidden="false" customHeight="true" outlineLevel="0" collapsed="false">
      <c r="A187" s="12"/>
      <c r="B187" s="14"/>
      <c r="C187" s="14"/>
      <c r="D187" s="14"/>
      <c r="E187" s="14"/>
      <c r="F187" s="14"/>
      <c r="G187" s="14"/>
      <c r="H187" s="14"/>
      <c r="I187" s="12"/>
    </row>
    <row r="188" customFormat="false" ht="13.5" hidden="false" customHeight="true" outlineLevel="0" collapsed="false">
      <c r="A188" s="12"/>
      <c r="B188" s="14"/>
      <c r="C188" s="14"/>
      <c r="D188" s="14"/>
      <c r="E188" s="14"/>
      <c r="F188" s="14"/>
      <c r="G188" s="14"/>
      <c r="H188" s="14"/>
      <c r="I188" s="12"/>
    </row>
    <row r="189" customFormat="false" ht="13.5" hidden="false" customHeight="true" outlineLevel="0" collapsed="false">
      <c r="A189" s="12"/>
      <c r="B189" s="14"/>
      <c r="C189" s="14"/>
      <c r="D189" s="14"/>
      <c r="E189" s="14"/>
      <c r="F189" s="14"/>
      <c r="G189" s="14"/>
      <c r="H189" s="14"/>
      <c r="I189" s="12"/>
    </row>
    <row r="190" customFormat="false" ht="13.5" hidden="false" customHeight="true" outlineLevel="0" collapsed="false">
      <c r="A190" s="12"/>
      <c r="B190" s="14"/>
      <c r="C190" s="14"/>
      <c r="D190" s="14"/>
      <c r="E190" s="14"/>
      <c r="F190" s="14"/>
      <c r="G190" s="14"/>
      <c r="H190" s="14"/>
      <c r="I190" s="12"/>
    </row>
    <row r="191" customFormat="false" ht="13.5" hidden="false" customHeight="true" outlineLevel="0" collapsed="false">
      <c r="A191" s="12"/>
      <c r="B191" s="14"/>
      <c r="C191" s="14"/>
      <c r="D191" s="14"/>
      <c r="E191" s="14"/>
      <c r="F191" s="14"/>
      <c r="G191" s="14"/>
      <c r="H191" s="14"/>
      <c r="I191" s="12"/>
    </row>
    <row r="192" customFormat="false" ht="13.5" hidden="false" customHeight="true" outlineLevel="0" collapsed="false">
      <c r="A192" s="12"/>
      <c r="B192" s="14"/>
      <c r="C192" s="14"/>
      <c r="D192" s="14"/>
      <c r="E192" s="14"/>
      <c r="F192" s="14"/>
      <c r="G192" s="14"/>
      <c r="H192" s="14"/>
      <c r="I192" s="12"/>
    </row>
    <row r="193" customFormat="false" ht="13.5" hidden="false" customHeight="true" outlineLevel="0" collapsed="false">
      <c r="A193" s="12"/>
      <c r="B193" s="14"/>
      <c r="C193" s="14"/>
      <c r="D193" s="14"/>
      <c r="E193" s="14"/>
      <c r="F193" s="14"/>
      <c r="G193" s="14"/>
      <c r="H193" s="14"/>
      <c r="I193" s="12"/>
    </row>
    <row r="194" customFormat="false" ht="13.5" hidden="false" customHeight="true" outlineLevel="0" collapsed="false">
      <c r="A194" s="12"/>
      <c r="B194" s="14"/>
      <c r="C194" s="14"/>
      <c r="D194" s="14"/>
      <c r="E194" s="14"/>
      <c r="F194" s="14"/>
      <c r="G194" s="14"/>
      <c r="H194" s="14"/>
      <c r="I194" s="12"/>
    </row>
    <row r="195" customFormat="false" ht="13.5" hidden="false" customHeight="true" outlineLevel="0" collapsed="false">
      <c r="A195" s="12"/>
      <c r="B195" s="14"/>
      <c r="C195" s="14"/>
      <c r="D195" s="14"/>
      <c r="E195" s="14"/>
      <c r="F195" s="14"/>
      <c r="G195" s="14"/>
      <c r="H195" s="14"/>
      <c r="I195" s="12"/>
    </row>
    <row r="196" customFormat="false" ht="13.5" hidden="false" customHeight="true" outlineLevel="0" collapsed="false">
      <c r="A196" s="12"/>
      <c r="B196" s="14"/>
      <c r="C196" s="14"/>
      <c r="D196" s="14"/>
      <c r="E196" s="14"/>
      <c r="F196" s="14"/>
      <c r="G196" s="14"/>
      <c r="H196" s="14"/>
      <c r="I196" s="12"/>
    </row>
    <row r="197" customFormat="false" ht="13.5" hidden="false" customHeight="true" outlineLevel="0" collapsed="false">
      <c r="A197" s="12"/>
      <c r="B197" s="14"/>
      <c r="C197" s="14"/>
      <c r="D197" s="14"/>
      <c r="E197" s="14"/>
      <c r="F197" s="14"/>
      <c r="G197" s="14"/>
      <c r="H197" s="14"/>
      <c r="I197" s="12"/>
    </row>
    <row r="198" customFormat="false" ht="13.5" hidden="false" customHeight="true" outlineLevel="0" collapsed="false">
      <c r="A198" s="12"/>
      <c r="B198" s="14"/>
      <c r="C198" s="14"/>
      <c r="D198" s="14"/>
      <c r="E198" s="14"/>
      <c r="F198" s="14"/>
      <c r="G198" s="14"/>
      <c r="H198" s="14"/>
      <c r="I198" s="12"/>
    </row>
    <row r="199" customFormat="false" ht="13.5" hidden="false" customHeight="true" outlineLevel="0" collapsed="false">
      <c r="A199" s="12"/>
      <c r="B199" s="14"/>
      <c r="C199" s="14"/>
      <c r="D199" s="14"/>
      <c r="E199" s="14"/>
      <c r="F199" s="14"/>
      <c r="G199" s="14"/>
      <c r="H199" s="14"/>
      <c r="I199" s="12"/>
    </row>
    <row r="200" customFormat="false" ht="13.5" hidden="false" customHeight="true" outlineLevel="0" collapsed="false">
      <c r="A200" s="12"/>
      <c r="B200" s="14"/>
      <c r="C200" s="14"/>
      <c r="D200" s="14"/>
      <c r="E200" s="14"/>
      <c r="F200" s="14"/>
      <c r="G200" s="14"/>
      <c r="H200" s="14"/>
      <c r="I200" s="12"/>
    </row>
    <row r="201" customFormat="false" ht="13.5" hidden="false" customHeight="true" outlineLevel="0" collapsed="false">
      <c r="A201" s="12"/>
      <c r="B201" s="14"/>
      <c r="C201" s="14"/>
      <c r="D201" s="14"/>
      <c r="E201" s="14"/>
      <c r="F201" s="14"/>
      <c r="G201" s="14"/>
      <c r="H201" s="14"/>
      <c r="I201" s="12"/>
    </row>
    <row r="202" customFormat="false" ht="13.5" hidden="false" customHeight="true" outlineLevel="0" collapsed="false">
      <c r="A202" s="12"/>
      <c r="B202" s="14"/>
      <c r="C202" s="14"/>
      <c r="D202" s="14"/>
      <c r="E202" s="14"/>
      <c r="F202" s="14"/>
      <c r="G202" s="14"/>
      <c r="H202" s="14"/>
      <c r="I202" s="12"/>
    </row>
    <row r="203" customFormat="false" ht="13.5" hidden="false" customHeight="true" outlineLevel="0" collapsed="false">
      <c r="A203" s="12"/>
      <c r="B203" s="14"/>
      <c r="C203" s="14"/>
      <c r="D203" s="14"/>
      <c r="E203" s="14"/>
      <c r="F203" s="14"/>
      <c r="G203" s="14"/>
      <c r="H203" s="14"/>
      <c r="I203" s="12"/>
    </row>
    <row r="204" customFormat="false" ht="13.5" hidden="false" customHeight="true" outlineLevel="0" collapsed="false">
      <c r="A204" s="12"/>
      <c r="B204" s="14"/>
      <c r="C204" s="14"/>
      <c r="D204" s="14"/>
      <c r="E204" s="14"/>
      <c r="F204" s="14"/>
      <c r="G204" s="14"/>
      <c r="H204" s="14"/>
      <c r="I204" s="12"/>
    </row>
    <row r="205" customFormat="false" ht="13.5" hidden="false" customHeight="true" outlineLevel="0" collapsed="false">
      <c r="A205" s="12"/>
      <c r="B205" s="14"/>
      <c r="C205" s="14"/>
      <c r="D205" s="14"/>
      <c r="E205" s="14"/>
      <c r="F205" s="14"/>
      <c r="G205" s="14"/>
      <c r="H205" s="14"/>
      <c r="I205" s="12"/>
    </row>
    <row r="206" customFormat="false" ht="13.5" hidden="false" customHeight="true" outlineLevel="0" collapsed="false">
      <c r="A206" s="12"/>
      <c r="B206" s="14"/>
      <c r="C206" s="14"/>
      <c r="D206" s="14"/>
      <c r="E206" s="14"/>
      <c r="F206" s="14"/>
      <c r="G206" s="14"/>
      <c r="H206" s="14"/>
      <c r="I206" s="12"/>
    </row>
    <row r="207" customFormat="false" ht="13.5" hidden="false" customHeight="true" outlineLevel="0" collapsed="false">
      <c r="A207" s="12"/>
      <c r="B207" s="14"/>
      <c r="C207" s="14"/>
      <c r="D207" s="14"/>
      <c r="E207" s="14"/>
      <c r="F207" s="14"/>
      <c r="G207" s="14"/>
      <c r="H207" s="14"/>
      <c r="I207" s="12"/>
    </row>
    <row r="208" customFormat="false" ht="13.5" hidden="false" customHeight="true" outlineLevel="0" collapsed="false">
      <c r="A208" s="12"/>
      <c r="B208" s="14"/>
      <c r="C208" s="14"/>
      <c r="D208" s="14"/>
      <c r="E208" s="14"/>
      <c r="F208" s="14"/>
      <c r="G208" s="14"/>
      <c r="H208" s="14"/>
      <c r="I208" s="12"/>
    </row>
    <row r="209" customFormat="false" ht="13.5" hidden="false" customHeight="true" outlineLevel="0" collapsed="false">
      <c r="A209" s="12"/>
      <c r="B209" s="14"/>
      <c r="C209" s="14"/>
      <c r="D209" s="14"/>
      <c r="E209" s="14"/>
      <c r="F209" s="14"/>
      <c r="G209" s="14"/>
      <c r="H209" s="14"/>
      <c r="I209" s="12"/>
    </row>
    <row r="210" customFormat="false" ht="13.5" hidden="false" customHeight="true" outlineLevel="0" collapsed="false">
      <c r="A210" s="12"/>
      <c r="B210" s="14"/>
      <c r="C210" s="14"/>
      <c r="D210" s="14"/>
      <c r="E210" s="14"/>
      <c r="F210" s="14"/>
      <c r="G210" s="14"/>
      <c r="H210" s="14"/>
      <c r="I210" s="12"/>
    </row>
    <row r="211" customFormat="false" ht="13.5" hidden="false" customHeight="true" outlineLevel="0" collapsed="false">
      <c r="A211" s="12"/>
      <c r="B211" s="14"/>
      <c r="C211" s="14"/>
      <c r="D211" s="14"/>
      <c r="E211" s="14"/>
      <c r="F211" s="14"/>
      <c r="G211" s="14"/>
      <c r="H211" s="14"/>
      <c r="I211" s="12"/>
    </row>
    <row r="212" customFormat="false" ht="13.5" hidden="false" customHeight="true" outlineLevel="0" collapsed="false">
      <c r="A212" s="12"/>
      <c r="B212" s="14"/>
      <c r="C212" s="14"/>
      <c r="D212" s="14"/>
      <c r="E212" s="14"/>
      <c r="F212" s="14"/>
      <c r="G212" s="14"/>
      <c r="H212" s="14"/>
      <c r="I212" s="12"/>
    </row>
    <row r="213" customFormat="false" ht="13.5" hidden="false" customHeight="true" outlineLevel="0" collapsed="false">
      <c r="A213" s="12"/>
      <c r="B213" s="14"/>
      <c r="C213" s="14"/>
      <c r="D213" s="14"/>
      <c r="E213" s="14"/>
      <c r="F213" s="14"/>
      <c r="G213" s="14"/>
      <c r="H213" s="14"/>
      <c r="I213" s="12"/>
    </row>
    <row r="214" customFormat="false" ht="13.5" hidden="false" customHeight="true" outlineLevel="0" collapsed="false">
      <c r="A214" s="12"/>
      <c r="B214" s="14"/>
      <c r="C214" s="14"/>
      <c r="D214" s="14"/>
      <c r="E214" s="14"/>
      <c r="F214" s="14"/>
      <c r="G214" s="14"/>
      <c r="H214" s="14"/>
      <c r="I214" s="12"/>
    </row>
    <row r="215" customFormat="false" ht="13.5" hidden="false" customHeight="true" outlineLevel="0" collapsed="false">
      <c r="A215" s="12"/>
      <c r="B215" s="14"/>
      <c r="C215" s="14"/>
      <c r="D215" s="14"/>
      <c r="E215" s="14"/>
      <c r="F215" s="14"/>
      <c r="G215" s="14"/>
      <c r="H215" s="14"/>
      <c r="I215" s="12"/>
    </row>
    <row r="216" customFormat="false" ht="13.5" hidden="false" customHeight="true" outlineLevel="0" collapsed="false">
      <c r="A216" s="12"/>
      <c r="B216" s="14"/>
      <c r="C216" s="14"/>
      <c r="D216" s="14"/>
      <c r="E216" s="14"/>
      <c r="F216" s="14"/>
      <c r="G216" s="14"/>
      <c r="H216" s="14"/>
      <c r="I216" s="12"/>
    </row>
    <row r="217" customFormat="false" ht="13.5" hidden="false" customHeight="true" outlineLevel="0" collapsed="false">
      <c r="A217" s="12"/>
      <c r="B217" s="14"/>
      <c r="C217" s="14"/>
      <c r="D217" s="14"/>
      <c r="E217" s="14"/>
      <c r="F217" s="14"/>
      <c r="G217" s="14"/>
      <c r="H217" s="14"/>
      <c r="I217" s="12"/>
    </row>
    <row r="218" customFormat="false" ht="13.5" hidden="false" customHeight="true" outlineLevel="0" collapsed="false">
      <c r="A218" s="12"/>
      <c r="B218" s="14"/>
      <c r="C218" s="14"/>
      <c r="D218" s="14"/>
      <c r="E218" s="14"/>
      <c r="F218" s="14"/>
      <c r="G218" s="14"/>
      <c r="H218" s="14"/>
      <c r="I218" s="12"/>
    </row>
    <row r="219" customFormat="false" ht="13.5" hidden="false" customHeight="true" outlineLevel="0" collapsed="false">
      <c r="A219" s="12"/>
      <c r="B219" s="14"/>
      <c r="C219" s="14"/>
      <c r="D219" s="14"/>
      <c r="E219" s="14"/>
      <c r="F219" s="14"/>
      <c r="G219" s="14"/>
      <c r="H219" s="14"/>
      <c r="I219" s="12"/>
    </row>
    <row r="220" customFormat="false" ht="13.5" hidden="false" customHeight="true" outlineLevel="0" collapsed="false">
      <c r="A220" s="12"/>
      <c r="B220" s="14"/>
      <c r="C220" s="14"/>
      <c r="D220" s="14"/>
      <c r="E220" s="14"/>
      <c r="F220" s="14"/>
      <c r="G220" s="14"/>
      <c r="H220" s="14"/>
      <c r="I220" s="12"/>
    </row>
    <row r="221" customFormat="false" ht="13.5" hidden="false" customHeight="true" outlineLevel="0" collapsed="false">
      <c r="A221" s="19"/>
    </row>
    <row r="222" customFormat="false" ht="13.5" hidden="false" customHeight="true" outlineLevel="0" collapsed="false">
      <c r="A222" s="19"/>
    </row>
    <row r="223" customFormat="false" ht="13.5" hidden="false" customHeight="true" outlineLevel="0" collapsed="false">
      <c r="A223" s="19"/>
    </row>
    <row r="224" customFormat="false" ht="13.5" hidden="false" customHeight="true" outlineLevel="0" collapsed="false">
      <c r="A224" s="19"/>
    </row>
    <row r="225" customFormat="false" ht="13.5" hidden="false" customHeight="true" outlineLevel="0" collapsed="false">
      <c r="A225" s="19"/>
    </row>
    <row r="226" customFormat="false" ht="13.5" hidden="false" customHeight="true" outlineLevel="0" collapsed="false">
      <c r="A226" s="19"/>
    </row>
    <row r="227" customFormat="false" ht="13.5" hidden="false" customHeight="true" outlineLevel="0" collapsed="false">
      <c r="A227" s="19"/>
    </row>
    <row r="228" customFormat="false" ht="13.5" hidden="false" customHeight="true" outlineLevel="0" collapsed="false">
      <c r="A228" s="19"/>
    </row>
    <row r="229" customFormat="false" ht="13.5" hidden="false" customHeight="true" outlineLevel="0" collapsed="false">
      <c r="A229" s="19"/>
    </row>
    <row r="230" customFormat="false" ht="13.5" hidden="false" customHeight="true" outlineLevel="0" collapsed="false">
      <c r="A230" s="19"/>
    </row>
    <row r="231" customFormat="false" ht="13.5" hidden="false" customHeight="true" outlineLevel="0" collapsed="false">
      <c r="A231" s="19"/>
    </row>
    <row r="232" customFormat="false" ht="13.5" hidden="false" customHeight="true" outlineLevel="0" collapsed="false">
      <c r="A232" s="19"/>
    </row>
    <row r="233" customFormat="false" ht="13.5" hidden="false" customHeight="true" outlineLevel="0" collapsed="false">
      <c r="A233" s="19"/>
    </row>
    <row r="234" customFormat="false" ht="13.5" hidden="false" customHeight="true" outlineLevel="0" collapsed="false">
      <c r="A234" s="19"/>
    </row>
    <row r="235" customFormat="false" ht="13.5" hidden="false" customHeight="true" outlineLevel="0" collapsed="false">
      <c r="A235" s="19"/>
    </row>
    <row r="236" customFormat="false" ht="13.5" hidden="false" customHeight="true" outlineLevel="0" collapsed="false">
      <c r="A236" s="19"/>
    </row>
    <row r="237" customFormat="false" ht="13.5" hidden="false" customHeight="true" outlineLevel="0" collapsed="false">
      <c r="A237" s="19"/>
    </row>
    <row r="238" customFormat="false" ht="13.5" hidden="false" customHeight="true" outlineLevel="0" collapsed="false">
      <c r="A238" s="19"/>
    </row>
    <row r="239" customFormat="false" ht="13.5" hidden="false" customHeight="true" outlineLevel="0" collapsed="false">
      <c r="A239" s="19"/>
    </row>
    <row r="240" customFormat="false" ht="13.5" hidden="false" customHeight="true" outlineLevel="0" collapsed="false">
      <c r="A240" s="19"/>
    </row>
    <row r="241" customFormat="false" ht="13.5" hidden="false" customHeight="true" outlineLevel="0" collapsed="false">
      <c r="A241" s="19"/>
    </row>
    <row r="242" customFormat="false" ht="13.5" hidden="false" customHeight="true" outlineLevel="0" collapsed="false">
      <c r="A242" s="19"/>
    </row>
    <row r="243" customFormat="false" ht="13.5" hidden="false" customHeight="true" outlineLevel="0" collapsed="false">
      <c r="A243" s="19"/>
    </row>
    <row r="244" customFormat="false" ht="13.5" hidden="false" customHeight="true" outlineLevel="0" collapsed="false">
      <c r="A244" s="19"/>
    </row>
    <row r="245" customFormat="false" ht="13.5" hidden="false" customHeight="true" outlineLevel="0" collapsed="false">
      <c r="A245" s="19"/>
    </row>
    <row r="246" customFormat="false" ht="13.5" hidden="false" customHeight="true" outlineLevel="0" collapsed="false">
      <c r="A246" s="19"/>
    </row>
    <row r="247" customFormat="false" ht="13.5" hidden="false" customHeight="true" outlineLevel="0" collapsed="false">
      <c r="A247" s="19"/>
    </row>
    <row r="248" customFormat="false" ht="13.5" hidden="false" customHeight="true" outlineLevel="0" collapsed="false">
      <c r="A248" s="19"/>
    </row>
    <row r="249" customFormat="false" ht="13.5" hidden="false" customHeight="true" outlineLevel="0" collapsed="false">
      <c r="A249" s="19"/>
    </row>
    <row r="250" customFormat="false" ht="13.5" hidden="false" customHeight="true" outlineLevel="0" collapsed="false">
      <c r="A250" s="19"/>
    </row>
    <row r="251" customFormat="false" ht="13.5" hidden="false" customHeight="true" outlineLevel="0" collapsed="false">
      <c r="A251" s="19"/>
    </row>
    <row r="252" customFormat="false" ht="13.5" hidden="false" customHeight="true" outlineLevel="0" collapsed="false">
      <c r="A252" s="19"/>
    </row>
    <row r="253" customFormat="false" ht="13.5" hidden="false" customHeight="true" outlineLevel="0" collapsed="false">
      <c r="A253" s="19"/>
    </row>
    <row r="254" customFormat="false" ht="13.5" hidden="false" customHeight="true" outlineLevel="0" collapsed="false">
      <c r="A254" s="19"/>
    </row>
    <row r="255" customFormat="false" ht="13.5" hidden="false" customHeight="true" outlineLevel="0" collapsed="false">
      <c r="A255" s="19"/>
    </row>
    <row r="256" customFormat="false" ht="13.5" hidden="false" customHeight="true" outlineLevel="0" collapsed="false">
      <c r="A256" s="19"/>
    </row>
    <row r="257" customFormat="false" ht="13.5" hidden="false" customHeight="true" outlineLevel="0" collapsed="false">
      <c r="A257" s="19"/>
    </row>
    <row r="258" customFormat="false" ht="13.5" hidden="false" customHeight="true" outlineLevel="0" collapsed="false">
      <c r="A258" s="19"/>
    </row>
    <row r="259" customFormat="false" ht="13.5" hidden="false" customHeight="true" outlineLevel="0" collapsed="false">
      <c r="A259" s="19"/>
    </row>
    <row r="260" customFormat="false" ht="13.5" hidden="false" customHeight="true" outlineLevel="0" collapsed="false">
      <c r="A260" s="19"/>
    </row>
    <row r="261" customFormat="false" ht="13.5" hidden="false" customHeight="true" outlineLevel="0" collapsed="false">
      <c r="A261" s="19"/>
    </row>
    <row r="262" customFormat="false" ht="13.5" hidden="false" customHeight="true" outlineLevel="0" collapsed="false">
      <c r="A262" s="19"/>
    </row>
    <row r="263" customFormat="false" ht="13.5" hidden="false" customHeight="true" outlineLevel="0" collapsed="false">
      <c r="A263" s="19"/>
    </row>
    <row r="264" customFormat="false" ht="13.5" hidden="false" customHeight="true" outlineLevel="0" collapsed="false">
      <c r="A264" s="19"/>
    </row>
    <row r="265" customFormat="false" ht="13.5" hidden="false" customHeight="true" outlineLevel="0" collapsed="false">
      <c r="A265" s="19"/>
    </row>
    <row r="266" customFormat="false" ht="13.5" hidden="false" customHeight="true" outlineLevel="0" collapsed="false">
      <c r="A266" s="19"/>
    </row>
    <row r="267" customFormat="false" ht="13.5" hidden="false" customHeight="true" outlineLevel="0" collapsed="false">
      <c r="A267" s="19"/>
    </row>
    <row r="268" customFormat="false" ht="13.5" hidden="false" customHeight="true" outlineLevel="0" collapsed="false">
      <c r="A268" s="19"/>
    </row>
    <row r="269" customFormat="false" ht="13.5" hidden="false" customHeight="true" outlineLevel="0" collapsed="false">
      <c r="A269" s="19"/>
    </row>
    <row r="270" customFormat="false" ht="13.5" hidden="false" customHeight="true" outlineLevel="0" collapsed="false">
      <c r="A270" s="19"/>
    </row>
    <row r="271" customFormat="false" ht="13.5" hidden="false" customHeight="true" outlineLevel="0" collapsed="false">
      <c r="A271" s="19"/>
    </row>
    <row r="272" customFormat="false" ht="13.5" hidden="false" customHeight="true" outlineLevel="0" collapsed="false">
      <c r="A272" s="19"/>
    </row>
    <row r="273" customFormat="false" ht="13.5" hidden="false" customHeight="true" outlineLevel="0" collapsed="false">
      <c r="A273" s="19"/>
    </row>
    <row r="274" customFormat="false" ht="13.5" hidden="false" customHeight="true" outlineLevel="0" collapsed="false">
      <c r="A274" s="19"/>
    </row>
    <row r="275" customFormat="false" ht="13.5" hidden="false" customHeight="true" outlineLevel="0" collapsed="false">
      <c r="A275" s="19"/>
    </row>
    <row r="276" customFormat="false" ht="13.5" hidden="false" customHeight="true" outlineLevel="0" collapsed="false">
      <c r="A276" s="19"/>
    </row>
    <row r="277" customFormat="false" ht="13.5" hidden="false" customHeight="true" outlineLevel="0" collapsed="false">
      <c r="A277" s="19"/>
    </row>
    <row r="278" customFormat="false" ht="13.5" hidden="false" customHeight="true" outlineLevel="0" collapsed="false">
      <c r="A278" s="19"/>
    </row>
    <row r="279" customFormat="false" ht="13.5" hidden="false" customHeight="true" outlineLevel="0" collapsed="false">
      <c r="A279" s="19"/>
    </row>
    <row r="280" customFormat="false" ht="13.5" hidden="false" customHeight="true" outlineLevel="0" collapsed="false">
      <c r="A280" s="19"/>
    </row>
    <row r="281" customFormat="false" ht="13.5" hidden="false" customHeight="true" outlineLevel="0" collapsed="false">
      <c r="A281" s="19"/>
    </row>
    <row r="282" customFormat="false" ht="13.5" hidden="false" customHeight="true" outlineLevel="0" collapsed="false">
      <c r="A282" s="19"/>
    </row>
    <row r="283" customFormat="false" ht="13.5" hidden="false" customHeight="true" outlineLevel="0" collapsed="false">
      <c r="A283" s="19"/>
    </row>
    <row r="284" customFormat="false" ht="13.5" hidden="false" customHeight="true" outlineLevel="0" collapsed="false">
      <c r="A284" s="19"/>
    </row>
    <row r="285" customFormat="false" ht="13.5" hidden="false" customHeight="true" outlineLevel="0" collapsed="false">
      <c r="A285" s="19"/>
    </row>
    <row r="286" customFormat="false" ht="13.5" hidden="false" customHeight="true" outlineLevel="0" collapsed="false">
      <c r="A286" s="19"/>
    </row>
    <row r="287" customFormat="false" ht="13.5" hidden="false" customHeight="true" outlineLevel="0" collapsed="false">
      <c r="A287" s="19"/>
    </row>
    <row r="288" customFormat="false" ht="13.5" hidden="false" customHeight="true" outlineLevel="0" collapsed="false">
      <c r="A288" s="19"/>
    </row>
    <row r="289" customFormat="false" ht="13.5" hidden="false" customHeight="true" outlineLevel="0" collapsed="false">
      <c r="A289" s="19"/>
    </row>
    <row r="290" customFormat="false" ht="13.5" hidden="false" customHeight="true" outlineLevel="0" collapsed="false">
      <c r="A290" s="19"/>
    </row>
    <row r="291" customFormat="false" ht="13.5" hidden="false" customHeight="true" outlineLevel="0" collapsed="false">
      <c r="A291" s="19"/>
    </row>
    <row r="292" customFormat="false" ht="13.5" hidden="false" customHeight="true" outlineLevel="0" collapsed="false">
      <c r="A292" s="19"/>
    </row>
    <row r="293" customFormat="false" ht="13.5" hidden="false" customHeight="true" outlineLevel="0" collapsed="false">
      <c r="A293" s="19"/>
    </row>
    <row r="294" customFormat="false" ht="13.5" hidden="false" customHeight="true" outlineLevel="0" collapsed="false">
      <c r="A294" s="19"/>
    </row>
    <row r="295" customFormat="false" ht="13.5" hidden="false" customHeight="true" outlineLevel="0" collapsed="false">
      <c r="A295" s="19"/>
    </row>
    <row r="296" customFormat="false" ht="13.5" hidden="false" customHeight="true" outlineLevel="0" collapsed="false">
      <c r="A296" s="19"/>
    </row>
    <row r="297" customFormat="false" ht="13.5" hidden="false" customHeight="true" outlineLevel="0" collapsed="false">
      <c r="A297" s="19"/>
    </row>
    <row r="298" customFormat="false" ht="13.5" hidden="false" customHeight="true" outlineLevel="0" collapsed="false">
      <c r="A298" s="19"/>
    </row>
    <row r="299" customFormat="false" ht="13.5" hidden="false" customHeight="true" outlineLevel="0" collapsed="false">
      <c r="A299" s="19"/>
    </row>
    <row r="300" customFormat="false" ht="13.5" hidden="false" customHeight="true" outlineLevel="0" collapsed="false">
      <c r="A300" s="19"/>
    </row>
    <row r="301" customFormat="false" ht="13.5" hidden="false" customHeight="true" outlineLevel="0" collapsed="false">
      <c r="A301" s="19"/>
    </row>
    <row r="302" customFormat="false" ht="13.5" hidden="false" customHeight="true" outlineLevel="0" collapsed="false">
      <c r="A302" s="19"/>
    </row>
    <row r="303" customFormat="false" ht="13.5" hidden="false" customHeight="true" outlineLevel="0" collapsed="false">
      <c r="A303" s="19"/>
    </row>
    <row r="304" customFormat="false" ht="13.5" hidden="false" customHeight="true" outlineLevel="0" collapsed="false">
      <c r="A304" s="19"/>
    </row>
    <row r="305" customFormat="false" ht="13.5" hidden="false" customHeight="true" outlineLevel="0" collapsed="false">
      <c r="A305" s="19"/>
    </row>
    <row r="306" customFormat="false" ht="13.5" hidden="false" customHeight="true" outlineLevel="0" collapsed="false">
      <c r="A306" s="19"/>
    </row>
    <row r="307" customFormat="false" ht="13.5" hidden="false" customHeight="true" outlineLevel="0" collapsed="false">
      <c r="A307" s="19"/>
    </row>
    <row r="308" customFormat="false" ht="13.5" hidden="false" customHeight="true" outlineLevel="0" collapsed="false">
      <c r="A308" s="19"/>
    </row>
    <row r="309" customFormat="false" ht="13.5" hidden="false" customHeight="true" outlineLevel="0" collapsed="false">
      <c r="A309" s="19"/>
    </row>
    <row r="310" customFormat="false" ht="13.5" hidden="false" customHeight="true" outlineLevel="0" collapsed="false">
      <c r="A310" s="19"/>
    </row>
    <row r="311" customFormat="false" ht="13.5" hidden="false" customHeight="true" outlineLevel="0" collapsed="false">
      <c r="A311" s="19"/>
    </row>
    <row r="312" customFormat="false" ht="13.5" hidden="false" customHeight="true" outlineLevel="0" collapsed="false">
      <c r="A312" s="19"/>
    </row>
    <row r="313" customFormat="false" ht="13.5" hidden="false" customHeight="true" outlineLevel="0" collapsed="false">
      <c r="A313" s="19"/>
    </row>
    <row r="314" customFormat="false" ht="13.5" hidden="false" customHeight="true" outlineLevel="0" collapsed="false">
      <c r="A314" s="19"/>
    </row>
    <row r="315" customFormat="false" ht="13.5" hidden="false" customHeight="true" outlineLevel="0" collapsed="false">
      <c r="A315" s="19"/>
    </row>
    <row r="316" customFormat="false" ht="13.5" hidden="false" customHeight="true" outlineLevel="0" collapsed="false">
      <c r="A316" s="19"/>
    </row>
    <row r="317" customFormat="false" ht="13.5" hidden="false" customHeight="true" outlineLevel="0" collapsed="false">
      <c r="A317" s="19"/>
    </row>
    <row r="318" customFormat="false" ht="13.5" hidden="false" customHeight="true" outlineLevel="0" collapsed="false">
      <c r="A318" s="19"/>
    </row>
    <row r="319" customFormat="false" ht="13.5" hidden="false" customHeight="true" outlineLevel="0" collapsed="false">
      <c r="A319" s="19"/>
    </row>
    <row r="320" customFormat="false" ht="13.5" hidden="false" customHeight="true" outlineLevel="0" collapsed="false">
      <c r="A320" s="19"/>
    </row>
    <row r="321" customFormat="false" ht="13.5" hidden="false" customHeight="true" outlineLevel="0" collapsed="false">
      <c r="A321" s="19"/>
    </row>
    <row r="322" customFormat="false" ht="13.5" hidden="false" customHeight="true" outlineLevel="0" collapsed="false">
      <c r="A322" s="19"/>
    </row>
    <row r="323" customFormat="false" ht="13.5" hidden="false" customHeight="true" outlineLevel="0" collapsed="false">
      <c r="A323" s="19"/>
    </row>
    <row r="324" customFormat="false" ht="13.5" hidden="false" customHeight="true" outlineLevel="0" collapsed="false">
      <c r="A324" s="19"/>
    </row>
    <row r="325" customFormat="false" ht="13.5" hidden="false" customHeight="true" outlineLevel="0" collapsed="false">
      <c r="A325" s="19"/>
    </row>
    <row r="326" customFormat="false" ht="13.5" hidden="false" customHeight="true" outlineLevel="0" collapsed="false">
      <c r="A326" s="19"/>
    </row>
    <row r="327" customFormat="false" ht="13.5" hidden="false" customHeight="true" outlineLevel="0" collapsed="false">
      <c r="A327" s="19"/>
    </row>
    <row r="328" customFormat="false" ht="13.5" hidden="false" customHeight="true" outlineLevel="0" collapsed="false">
      <c r="A328" s="19"/>
    </row>
    <row r="329" customFormat="false" ht="13.5" hidden="false" customHeight="true" outlineLevel="0" collapsed="false">
      <c r="A329" s="19"/>
    </row>
    <row r="330" customFormat="false" ht="13.5" hidden="false" customHeight="true" outlineLevel="0" collapsed="false">
      <c r="A330" s="19"/>
    </row>
    <row r="331" customFormat="false" ht="13.5" hidden="false" customHeight="true" outlineLevel="0" collapsed="false">
      <c r="A331" s="19"/>
    </row>
    <row r="332" customFormat="false" ht="13.5" hidden="false" customHeight="true" outlineLevel="0" collapsed="false">
      <c r="A332" s="19"/>
    </row>
    <row r="333" customFormat="false" ht="13.5" hidden="false" customHeight="true" outlineLevel="0" collapsed="false">
      <c r="A333" s="19"/>
    </row>
    <row r="334" customFormat="false" ht="13.5" hidden="false" customHeight="true" outlineLevel="0" collapsed="false">
      <c r="A334" s="19"/>
    </row>
    <row r="335" customFormat="false" ht="13.5" hidden="false" customHeight="true" outlineLevel="0" collapsed="false">
      <c r="A335" s="19"/>
    </row>
    <row r="336" customFormat="false" ht="13.5" hidden="false" customHeight="true" outlineLevel="0" collapsed="false">
      <c r="A336" s="19"/>
    </row>
    <row r="337" customFormat="false" ht="13.5" hidden="false" customHeight="true" outlineLevel="0" collapsed="false">
      <c r="A337" s="19"/>
    </row>
    <row r="338" customFormat="false" ht="13.5" hidden="false" customHeight="true" outlineLevel="0" collapsed="false">
      <c r="A338" s="19"/>
    </row>
    <row r="339" customFormat="false" ht="13.5" hidden="false" customHeight="true" outlineLevel="0" collapsed="false">
      <c r="A339" s="19"/>
    </row>
    <row r="340" customFormat="false" ht="13.5" hidden="false" customHeight="true" outlineLevel="0" collapsed="false">
      <c r="A340" s="19"/>
    </row>
    <row r="341" customFormat="false" ht="13.5" hidden="false" customHeight="true" outlineLevel="0" collapsed="false">
      <c r="A341" s="19"/>
    </row>
    <row r="342" customFormat="false" ht="13.5" hidden="false" customHeight="true" outlineLevel="0" collapsed="false">
      <c r="A342" s="19"/>
    </row>
    <row r="343" customFormat="false" ht="13.5" hidden="false" customHeight="true" outlineLevel="0" collapsed="false">
      <c r="A343" s="19"/>
    </row>
    <row r="344" customFormat="false" ht="13.5" hidden="false" customHeight="true" outlineLevel="0" collapsed="false">
      <c r="A344" s="19"/>
    </row>
    <row r="345" customFormat="false" ht="13.5" hidden="false" customHeight="true" outlineLevel="0" collapsed="false">
      <c r="A345" s="19"/>
    </row>
    <row r="346" customFormat="false" ht="13.5" hidden="false" customHeight="true" outlineLevel="0" collapsed="false">
      <c r="A346" s="19"/>
    </row>
    <row r="347" customFormat="false" ht="13.5" hidden="false" customHeight="true" outlineLevel="0" collapsed="false">
      <c r="A347" s="19"/>
    </row>
    <row r="348" customFormat="false" ht="13.5" hidden="false" customHeight="true" outlineLevel="0" collapsed="false">
      <c r="A348" s="19"/>
    </row>
    <row r="349" customFormat="false" ht="13.5" hidden="false" customHeight="true" outlineLevel="0" collapsed="false">
      <c r="A349" s="19"/>
    </row>
    <row r="350" customFormat="false" ht="13.5" hidden="false" customHeight="true" outlineLevel="0" collapsed="false">
      <c r="A350" s="19"/>
    </row>
    <row r="351" customFormat="false" ht="13.5" hidden="false" customHeight="true" outlineLevel="0" collapsed="false">
      <c r="A351" s="19"/>
    </row>
    <row r="352" customFormat="false" ht="13.5" hidden="false" customHeight="true" outlineLevel="0" collapsed="false">
      <c r="A352" s="19"/>
    </row>
    <row r="353" customFormat="false" ht="13.5" hidden="false" customHeight="true" outlineLevel="0" collapsed="false">
      <c r="A353" s="19"/>
    </row>
    <row r="354" customFormat="false" ht="13.5" hidden="false" customHeight="true" outlineLevel="0" collapsed="false">
      <c r="A354" s="19"/>
    </row>
    <row r="355" customFormat="false" ht="13.5" hidden="false" customHeight="true" outlineLevel="0" collapsed="false">
      <c r="A355" s="19"/>
    </row>
    <row r="356" customFormat="false" ht="13.5" hidden="false" customHeight="true" outlineLevel="0" collapsed="false">
      <c r="A356" s="19"/>
    </row>
    <row r="357" customFormat="false" ht="13.5" hidden="false" customHeight="true" outlineLevel="0" collapsed="false">
      <c r="A357" s="19"/>
    </row>
    <row r="358" customFormat="false" ht="13.5" hidden="false" customHeight="true" outlineLevel="0" collapsed="false">
      <c r="A358" s="19"/>
    </row>
    <row r="359" customFormat="false" ht="13.5" hidden="false" customHeight="true" outlineLevel="0" collapsed="false">
      <c r="A359" s="19"/>
    </row>
    <row r="360" customFormat="false" ht="13.5" hidden="false" customHeight="true" outlineLevel="0" collapsed="false">
      <c r="A360" s="19"/>
    </row>
    <row r="361" customFormat="false" ht="13.5" hidden="false" customHeight="true" outlineLevel="0" collapsed="false">
      <c r="A361" s="19"/>
    </row>
    <row r="362" customFormat="false" ht="13.5" hidden="false" customHeight="true" outlineLevel="0" collapsed="false">
      <c r="A362" s="19"/>
    </row>
    <row r="363" customFormat="false" ht="13.5" hidden="false" customHeight="true" outlineLevel="0" collapsed="false">
      <c r="A363" s="19"/>
    </row>
    <row r="364" customFormat="false" ht="13.5" hidden="false" customHeight="true" outlineLevel="0" collapsed="false">
      <c r="A364" s="19"/>
    </row>
    <row r="365" customFormat="false" ht="13.5" hidden="false" customHeight="true" outlineLevel="0" collapsed="false">
      <c r="A365" s="19"/>
    </row>
    <row r="366" customFormat="false" ht="13.5" hidden="false" customHeight="true" outlineLevel="0" collapsed="false">
      <c r="A366" s="19"/>
    </row>
    <row r="367" customFormat="false" ht="13.5" hidden="false" customHeight="true" outlineLevel="0" collapsed="false">
      <c r="A367" s="19"/>
    </row>
    <row r="368" customFormat="false" ht="13.5" hidden="false" customHeight="true" outlineLevel="0" collapsed="false">
      <c r="A368" s="19"/>
    </row>
    <row r="369" customFormat="false" ht="13.5" hidden="false" customHeight="true" outlineLevel="0" collapsed="false">
      <c r="A369" s="19"/>
    </row>
    <row r="370" customFormat="false" ht="13.5" hidden="false" customHeight="true" outlineLevel="0" collapsed="false">
      <c r="A370" s="19"/>
    </row>
    <row r="371" customFormat="false" ht="13.5" hidden="false" customHeight="true" outlineLevel="0" collapsed="false">
      <c r="A371" s="19"/>
    </row>
    <row r="372" customFormat="false" ht="13.5" hidden="false" customHeight="true" outlineLevel="0" collapsed="false">
      <c r="A372" s="19"/>
    </row>
    <row r="373" customFormat="false" ht="13.5" hidden="false" customHeight="true" outlineLevel="0" collapsed="false">
      <c r="A373" s="19"/>
    </row>
    <row r="374" customFormat="false" ht="13.5" hidden="false" customHeight="true" outlineLevel="0" collapsed="false">
      <c r="A374" s="19"/>
    </row>
    <row r="375" customFormat="false" ht="13.5" hidden="false" customHeight="true" outlineLevel="0" collapsed="false">
      <c r="A375" s="19"/>
    </row>
    <row r="376" customFormat="false" ht="13.5" hidden="false" customHeight="true" outlineLevel="0" collapsed="false">
      <c r="A376" s="19"/>
    </row>
    <row r="377" customFormat="false" ht="13.5" hidden="false" customHeight="true" outlineLevel="0" collapsed="false">
      <c r="A377" s="19"/>
    </row>
    <row r="378" customFormat="false" ht="13.5" hidden="false" customHeight="true" outlineLevel="0" collapsed="false">
      <c r="A378" s="19"/>
    </row>
    <row r="379" customFormat="false" ht="13.5" hidden="false" customHeight="true" outlineLevel="0" collapsed="false">
      <c r="A379" s="19"/>
    </row>
    <row r="380" customFormat="false" ht="13.5" hidden="false" customHeight="true" outlineLevel="0" collapsed="false">
      <c r="A380" s="19"/>
    </row>
    <row r="381" customFormat="false" ht="13.5" hidden="false" customHeight="true" outlineLevel="0" collapsed="false">
      <c r="A381" s="19"/>
    </row>
    <row r="382" customFormat="false" ht="13.5" hidden="false" customHeight="true" outlineLevel="0" collapsed="false">
      <c r="A382" s="19"/>
    </row>
    <row r="383" customFormat="false" ht="13.5" hidden="false" customHeight="true" outlineLevel="0" collapsed="false">
      <c r="A383" s="19"/>
    </row>
    <row r="384" customFormat="false" ht="13.5" hidden="false" customHeight="true" outlineLevel="0" collapsed="false">
      <c r="A384" s="19"/>
    </row>
    <row r="385" customFormat="false" ht="13.5" hidden="false" customHeight="true" outlineLevel="0" collapsed="false">
      <c r="A385" s="19"/>
    </row>
    <row r="386" customFormat="false" ht="13.5" hidden="false" customHeight="true" outlineLevel="0" collapsed="false">
      <c r="A386" s="19"/>
    </row>
    <row r="387" customFormat="false" ht="13.5" hidden="false" customHeight="true" outlineLevel="0" collapsed="false">
      <c r="A387" s="19"/>
    </row>
    <row r="388" customFormat="false" ht="13.5" hidden="false" customHeight="true" outlineLevel="0" collapsed="false">
      <c r="A388" s="19"/>
    </row>
    <row r="389" customFormat="false" ht="13.5" hidden="false" customHeight="true" outlineLevel="0" collapsed="false">
      <c r="A389" s="19"/>
    </row>
    <row r="390" customFormat="false" ht="13.5" hidden="false" customHeight="true" outlineLevel="0" collapsed="false">
      <c r="A390" s="19"/>
    </row>
    <row r="391" customFormat="false" ht="13.5" hidden="false" customHeight="true" outlineLevel="0" collapsed="false">
      <c r="A391" s="19"/>
    </row>
    <row r="392" customFormat="false" ht="13.5" hidden="false" customHeight="true" outlineLevel="0" collapsed="false">
      <c r="A392" s="19"/>
    </row>
    <row r="393" customFormat="false" ht="13.5" hidden="false" customHeight="true" outlineLevel="0" collapsed="false">
      <c r="A393" s="19"/>
    </row>
    <row r="394" customFormat="false" ht="13.5" hidden="false" customHeight="true" outlineLevel="0" collapsed="false">
      <c r="A394" s="19"/>
    </row>
    <row r="395" customFormat="false" ht="13.5" hidden="false" customHeight="true" outlineLevel="0" collapsed="false">
      <c r="A395" s="19"/>
    </row>
    <row r="396" customFormat="false" ht="13.5" hidden="false" customHeight="true" outlineLevel="0" collapsed="false">
      <c r="A396" s="19"/>
    </row>
    <row r="397" customFormat="false" ht="13.5" hidden="false" customHeight="true" outlineLevel="0" collapsed="false">
      <c r="A397" s="19"/>
    </row>
    <row r="398" customFormat="false" ht="13.5" hidden="false" customHeight="true" outlineLevel="0" collapsed="false">
      <c r="A398" s="19"/>
    </row>
    <row r="399" customFormat="false" ht="13.5" hidden="false" customHeight="true" outlineLevel="0" collapsed="false">
      <c r="A399" s="19"/>
    </row>
    <row r="400" customFormat="false" ht="13.5" hidden="false" customHeight="true" outlineLevel="0" collapsed="false">
      <c r="A400" s="19"/>
    </row>
    <row r="401" customFormat="false" ht="13.5" hidden="false" customHeight="true" outlineLevel="0" collapsed="false">
      <c r="A401" s="19"/>
    </row>
    <row r="402" customFormat="false" ht="13.5" hidden="false" customHeight="true" outlineLevel="0" collapsed="false">
      <c r="A402" s="19"/>
    </row>
    <row r="403" customFormat="false" ht="13.5" hidden="false" customHeight="true" outlineLevel="0" collapsed="false">
      <c r="A403" s="19"/>
    </row>
    <row r="404" customFormat="false" ht="13.5" hidden="false" customHeight="true" outlineLevel="0" collapsed="false">
      <c r="A404" s="19"/>
    </row>
    <row r="405" customFormat="false" ht="13.5" hidden="false" customHeight="true" outlineLevel="0" collapsed="false">
      <c r="A405" s="19"/>
    </row>
    <row r="406" customFormat="false" ht="13.5" hidden="false" customHeight="true" outlineLevel="0" collapsed="false">
      <c r="A406" s="19"/>
    </row>
    <row r="407" customFormat="false" ht="13.5" hidden="false" customHeight="true" outlineLevel="0" collapsed="false">
      <c r="A407" s="19"/>
    </row>
    <row r="408" customFormat="false" ht="13.5" hidden="false" customHeight="true" outlineLevel="0" collapsed="false">
      <c r="A408" s="19"/>
    </row>
    <row r="409" customFormat="false" ht="13.5" hidden="false" customHeight="true" outlineLevel="0" collapsed="false">
      <c r="A409" s="19"/>
    </row>
    <row r="410" customFormat="false" ht="13.5" hidden="false" customHeight="true" outlineLevel="0" collapsed="false">
      <c r="A410" s="19"/>
    </row>
    <row r="411" customFormat="false" ht="13.5" hidden="false" customHeight="true" outlineLevel="0" collapsed="false">
      <c r="A411" s="19"/>
    </row>
    <row r="412" customFormat="false" ht="13.5" hidden="false" customHeight="true" outlineLevel="0" collapsed="false">
      <c r="A412" s="19"/>
    </row>
    <row r="413" customFormat="false" ht="13.5" hidden="false" customHeight="true" outlineLevel="0" collapsed="false">
      <c r="A413" s="19"/>
    </row>
    <row r="414" customFormat="false" ht="13.5" hidden="false" customHeight="true" outlineLevel="0" collapsed="false">
      <c r="A414" s="19"/>
    </row>
    <row r="415" customFormat="false" ht="13.5" hidden="false" customHeight="true" outlineLevel="0" collapsed="false">
      <c r="A415" s="19"/>
    </row>
    <row r="416" customFormat="false" ht="13.5" hidden="false" customHeight="true" outlineLevel="0" collapsed="false">
      <c r="A416" s="19"/>
    </row>
    <row r="417" customFormat="false" ht="13.5" hidden="false" customHeight="true" outlineLevel="0" collapsed="false">
      <c r="A417" s="19"/>
    </row>
    <row r="418" customFormat="false" ht="13.5" hidden="false" customHeight="true" outlineLevel="0" collapsed="false">
      <c r="A418" s="19"/>
    </row>
    <row r="419" customFormat="false" ht="13.5" hidden="false" customHeight="true" outlineLevel="0" collapsed="false">
      <c r="A419" s="19"/>
    </row>
    <row r="420" customFormat="false" ht="13.5" hidden="false" customHeight="true" outlineLevel="0" collapsed="false">
      <c r="A420" s="19"/>
    </row>
    <row r="421" customFormat="false" ht="13.5" hidden="false" customHeight="true" outlineLevel="0" collapsed="false">
      <c r="A421" s="19"/>
    </row>
    <row r="422" customFormat="false" ht="13.5" hidden="false" customHeight="true" outlineLevel="0" collapsed="false">
      <c r="A422" s="19"/>
    </row>
    <row r="423" customFormat="false" ht="13.5" hidden="false" customHeight="true" outlineLevel="0" collapsed="false">
      <c r="A423" s="19"/>
    </row>
    <row r="424" customFormat="false" ht="13.5" hidden="false" customHeight="true" outlineLevel="0" collapsed="false">
      <c r="A424" s="19"/>
    </row>
    <row r="425" customFormat="false" ht="13.5" hidden="false" customHeight="true" outlineLevel="0" collapsed="false">
      <c r="A425" s="19"/>
    </row>
    <row r="426" customFormat="false" ht="13.5" hidden="false" customHeight="true" outlineLevel="0" collapsed="false">
      <c r="A426" s="19"/>
    </row>
    <row r="427" customFormat="false" ht="13.5" hidden="false" customHeight="true" outlineLevel="0" collapsed="false">
      <c r="A427" s="19"/>
    </row>
    <row r="428" customFormat="false" ht="13.5" hidden="false" customHeight="true" outlineLevel="0" collapsed="false">
      <c r="A428" s="19"/>
    </row>
    <row r="429" customFormat="false" ht="13.5" hidden="false" customHeight="true" outlineLevel="0" collapsed="false">
      <c r="A429" s="19"/>
    </row>
    <row r="430" customFormat="false" ht="13.5" hidden="false" customHeight="true" outlineLevel="0" collapsed="false">
      <c r="A430" s="19"/>
    </row>
    <row r="431" customFormat="false" ht="13.5" hidden="false" customHeight="true" outlineLevel="0" collapsed="false">
      <c r="A431" s="19"/>
    </row>
    <row r="432" customFormat="false" ht="13.5" hidden="false" customHeight="true" outlineLevel="0" collapsed="false">
      <c r="A432" s="19"/>
    </row>
    <row r="433" customFormat="false" ht="13.5" hidden="false" customHeight="true" outlineLevel="0" collapsed="false">
      <c r="A433" s="19"/>
    </row>
    <row r="434" customFormat="false" ht="13.5" hidden="false" customHeight="true" outlineLevel="0" collapsed="false">
      <c r="A434" s="19"/>
    </row>
    <row r="435" customFormat="false" ht="13.5" hidden="false" customHeight="true" outlineLevel="0" collapsed="false">
      <c r="A435" s="19"/>
    </row>
    <row r="436" customFormat="false" ht="13.5" hidden="false" customHeight="true" outlineLevel="0" collapsed="false">
      <c r="A436" s="19"/>
    </row>
    <row r="437" customFormat="false" ht="13.5" hidden="false" customHeight="true" outlineLevel="0" collapsed="false">
      <c r="A437" s="19"/>
    </row>
    <row r="438" customFormat="false" ht="13.5" hidden="false" customHeight="true" outlineLevel="0" collapsed="false">
      <c r="A438" s="19"/>
    </row>
    <row r="439" customFormat="false" ht="13.5" hidden="false" customHeight="true" outlineLevel="0" collapsed="false">
      <c r="A439" s="19"/>
    </row>
    <row r="440" customFormat="false" ht="13.5" hidden="false" customHeight="true" outlineLevel="0" collapsed="false">
      <c r="A440" s="19"/>
    </row>
    <row r="441" customFormat="false" ht="13.5" hidden="false" customHeight="true" outlineLevel="0" collapsed="false">
      <c r="A441" s="19"/>
    </row>
    <row r="442" customFormat="false" ht="13.5" hidden="false" customHeight="true" outlineLevel="0" collapsed="false">
      <c r="A442" s="19"/>
    </row>
    <row r="443" customFormat="false" ht="13.5" hidden="false" customHeight="true" outlineLevel="0" collapsed="false">
      <c r="A443" s="19"/>
    </row>
    <row r="444" customFormat="false" ht="13.5" hidden="false" customHeight="true" outlineLevel="0" collapsed="false">
      <c r="A444" s="19"/>
    </row>
    <row r="445" customFormat="false" ht="13.5" hidden="false" customHeight="true" outlineLevel="0" collapsed="false">
      <c r="A445" s="19"/>
    </row>
    <row r="446" customFormat="false" ht="13.5" hidden="false" customHeight="true" outlineLevel="0" collapsed="false">
      <c r="A446" s="19"/>
    </row>
    <row r="447" customFormat="false" ht="13.5" hidden="false" customHeight="true" outlineLevel="0" collapsed="false">
      <c r="A447" s="19"/>
    </row>
    <row r="448" customFormat="false" ht="13.5" hidden="false" customHeight="true" outlineLevel="0" collapsed="false">
      <c r="A448" s="19"/>
    </row>
    <row r="449" customFormat="false" ht="13.5" hidden="false" customHeight="true" outlineLevel="0" collapsed="false">
      <c r="A449" s="19"/>
    </row>
    <row r="450" customFormat="false" ht="13.5" hidden="false" customHeight="true" outlineLevel="0" collapsed="false">
      <c r="A450" s="19"/>
    </row>
    <row r="451" customFormat="false" ht="13.5" hidden="false" customHeight="true" outlineLevel="0" collapsed="false">
      <c r="A451" s="19"/>
    </row>
    <row r="452" customFormat="false" ht="13.5" hidden="false" customHeight="true" outlineLevel="0" collapsed="false">
      <c r="A452" s="19"/>
    </row>
    <row r="453" customFormat="false" ht="13.5" hidden="false" customHeight="true" outlineLevel="0" collapsed="false">
      <c r="A453" s="19"/>
    </row>
    <row r="454" customFormat="false" ht="13.5" hidden="false" customHeight="true" outlineLevel="0" collapsed="false">
      <c r="A454" s="19"/>
    </row>
    <row r="455" customFormat="false" ht="13.5" hidden="false" customHeight="true" outlineLevel="0" collapsed="false">
      <c r="A455" s="19"/>
    </row>
    <row r="456" customFormat="false" ht="13.5" hidden="false" customHeight="true" outlineLevel="0" collapsed="false">
      <c r="A456" s="19"/>
    </row>
    <row r="457" customFormat="false" ht="13.5" hidden="false" customHeight="true" outlineLevel="0" collapsed="false">
      <c r="A457" s="19"/>
    </row>
    <row r="458" customFormat="false" ht="13.5" hidden="false" customHeight="true" outlineLevel="0" collapsed="false">
      <c r="A458" s="19"/>
    </row>
    <row r="459" customFormat="false" ht="13.5" hidden="false" customHeight="true" outlineLevel="0" collapsed="false">
      <c r="A459" s="19"/>
    </row>
    <row r="460" customFormat="false" ht="13.5" hidden="false" customHeight="true" outlineLevel="0" collapsed="false">
      <c r="A460" s="19"/>
    </row>
    <row r="461" customFormat="false" ht="13.5" hidden="false" customHeight="true" outlineLevel="0" collapsed="false">
      <c r="A461" s="19"/>
    </row>
    <row r="462" customFormat="false" ht="13.5" hidden="false" customHeight="true" outlineLevel="0" collapsed="false">
      <c r="A462" s="19"/>
    </row>
    <row r="463" customFormat="false" ht="13.5" hidden="false" customHeight="true" outlineLevel="0" collapsed="false">
      <c r="A463" s="19"/>
    </row>
    <row r="464" customFormat="false" ht="13.5" hidden="false" customHeight="true" outlineLevel="0" collapsed="false">
      <c r="A464" s="19"/>
    </row>
    <row r="465" customFormat="false" ht="13.5" hidden="false" customHeight="true" outlineLevel="0" collapsed="false">
      <c r="A465" s="19"/>
    </row>
    <row r="466" customFormat="false" ht="13.5" hidden="false" customHeight="true" outlineLevel="0" collapsed="false">
      <c r="A466" s="19"/>
    </row>
    <row r="467" customFormat="false" ht="13.5" hidden="false" customHeight="true" outlineLevel="0" collapsed="false">
      <c r="A467" s="19"/>
    </row>
    <row r="468" customFormat="false" ht="13.5" hidden="false" customHeight="true" outlineLevel="0" collapsed="false">
      <c r="A468" s="19"/>
    </row>
    <row r="469" customFormat="false" ht="13.5" hidden="false" customHeight="true" outlineLevel="0" collapsed="false">
      <c r="A469" s="19"/>
    </row>
    <row r="470" customFormat="false" ht="13.5" hidden="false" customHeight="true" outlineLevel="0" collapsed="false">
      <c r="A470" s="19"/>
    </row>
    <row r="471" customFormat="false" ht="13.5" hidden="false" customHeight="true" outlineLevel="0" collapsed="false">
      <c r="A471" s="19"/>
    </row>
    <row r="472" customFormat="false" ht="13.5" hidden="false" customHeight="true" outlineLevel="0" collapsed="false">
      <c r="A472" s="19"/>
    </row>
    <row r="473" customFormat="false" ht="13.5" hidden="false" customHeight="true" outlineLevel="0" collapsed="false">
      <c r="A473" s="19"/>
    </row>
    <row r="474" customFormat="false" ht="13.5" hidden="false" customHeight="true" outlineLevel="0" collapsed="false">
      <c r="A474" s="19"/>
    </row>
    <row r="475" customFormat="false" ht="13.5" hidden="false" customHeight="true" outlineLevel="0" collapsed="false">
      <c r="A475" s="19"/>
    </row>
    <row r="476" customFormat="false" ht="13.5" hidden="false" customHeight="true" outlineLevel="0" collapsed="false">
      <c r="A476" s="19"/>
    </row>
    <row r="477" customFormat="false" ht="13.5" hidden="false" customHeight="true" outlineLevel="0" collapsed="false">
      <c r="A477" s="19"/>
    </row>
    <row r="478" customFormat="false" ht="13.5" hidden="false" customHeight="true" outlineLevel="0" collapsed="false">
      <c r="A478" s="19"/>
    </row>
    <row r="479" customFormat="false" ht="13.5" hidden="false" customHeight="true" outlineLevel="0" collapsed="false">
      <c r="A479" s="19"/>
    </row>
    <row r="480" customFormat="false" ht="13.5" hidden="false" customHeight="true" outlineLevel="0" collapsed="false">
      <c r="A480" s="19"/>
    </row>
    <row r="481" customFormat="false" ht="13.5" hidden="false" customHeight="true" outlineLevel="0" collapsed="false">
      <c r="A481" s="19"/>
    </row>
    <row r="482" customFormat="false" ht="13.5" hidden="false" customHeight="true" outlineLevel="0" collapsed="false">
      <c r="A482" s="19"/>
    </row>
    <row r="483" customFormat="false" ht="13.5" hidden="false" customHeight="true" outlineLevel="0" collapsed="false">
      <c r="A483" s="19"/>
    </row>
    <row r="484" customFormat="false" ht="13.5" hidden="false" customHeight="true" outlineLevel="0" collapsed="false">
      <c r="A484" s="19"/>
    </row>
    <row r="485" customFormat="false" ht="13.5" hidden="false" customHeight="true" outlineLevel="0" collapsed="false">
      <c r="A485" s="19"/>
    </row>
    <row r="486" customFormat="false" ht="13.5" hidden="false" customHeight="true" outlineLevel="0" collapsed="false">
      <c r="A486" s="19"/>
    </row>
    <row r="487" customFormat="false" ht="13.5" hidden="false" customHeight="true" outlineLevel="0" collapsed="false">
      <c r="A487" s="19"/>
    </row>
    <row r="488" customFormat="false" ht="13.5" hidden="false" customHeight="true" outlineLevel="0" collapsed="false">
      <c r="A488" s="19"/>
    </row>
    <row r="489" customFormat="false" ht="13.5" hidden="false" customHeight="true" outlineLevel="0" collapsed="false">
      <c r="A489" s="19"/>
    </row>
    <row r="490" customFormat="false" ht="13.5" hidden="false" customHeight="true" outlineLevel="0" collapsed="false">
      <c r="A490" s="19"/>
    </row>
    <row r="491" customFormat="false" ht="13.5" hidden="false" customHeight="true" outlineLevel="0" collapsed="false">
      <c r="A491" s="19"/>
    </row>
    <row r="492" customFormat="false" ht="13.5" hidden="false" customHeight="true" outlineLevel="0" collapsed="false">
      <c r="A492" s="19"/>
    </row>
    <row r="493" customFormat="false" ht="13.5" hidden="false" customHeight="true" outlineLevel="0" collapsed="false">
      <c r="A493" s="19"/>
    </row>
    <row r="494" customFormat="false" ht="13.5" hidden="false" customHeight="true" outlineLevel="0" collapsed="false">
      <c r="A494" s="19"/>
    </row>
    <row r="495" customFormat="false" ht="13.5" hidden="false" customHeight="true" outlineLevel="0" collapsed="false">
      <c r="A495" s="19"/>
    </row>
    <row r="496" customFormat="false" ht="13.5" hidden="false" customHeight="true" outlineLevel="0" collapsed="false">
      <c r="A496" s="19"/>
    </row>
    <row r="497" customFormat="false" ht="13.5" hidden="false" customHeight="true" outlineLevel="0" collapsed="false">
      <c r="A497" s="19"/>
    </row>
    <row r="498" customFormat="false" ht="13.5" hidden="false" customHeight="true" outlineLevel="0" collapsed="false">
      <c r="A498" s="19"/>
    </row>
    <row r="499" customFormat="false" ht="13.5" hidden="false" customHeight="true" outlineLevel="0" collapsed="false">
      <c r="A499" s="19"/>
    </row>
    <row r="500" customFormat="false" ht="13.5" hidden="false" customHeight="true" outlineLevel="0" collapsed="false">
      <c r="A500" s="19"/>
    </row>
    <row r="501" customFormat="false" ht="13.5" hidden="false" customHeight="true" outlineLevel="0" collapsed="false">
      <c r="A501" s="19"/>
    </row>
    <row r="502" customFormat="false" ht="13.5" hidden="false" customHeight="true" outlineLevel="0" collapsed="false">
      <c r="A502" s="19"/>
    </row>
    <row r="503" customFormat="false" ht="13.5" hidden="false" customHeight="true" outlineLevel="0" collapsed="false">
      <c r="A503" s="19"/>
    </row>
    <row r="504" customFormat="false" ht="13.5" hidden="false" customHeight="true" outlineLevel="0" collapsed="false">
      <c r="A504" s="19"/>
    </row>
    <row r="505" customFormat="false" ht="13.5" hidden="false" customHeight="true" outlineLevel="0" collapsed="false">
      <c r="A505" s="19"/>
    </row>
    <row r="506" customFormat="false" ht="13.5" hidden="false" customHeight="true" outlineLevel="0" collapsed="false">
      <c r="A506" s="19"/>
    </row>
    <row r="507" customFormat="false" ht="13.5" hidden="false" customHeight="true" outlineLevel="0" collapsed="false">
      <c r="A507" s="19"/>
    </row>
    <row r="508" customFormat="false" ht="13.5" hidden="false" customHeight="true" outlineLevel="0" collapsed="false">
      <c r="A508" s="19"/>
    </row>
    <row r="509" customFormat="false" ht="13.5" hidden="false" customHeight="true" outlineLevel="0" collapsed="false">
      <c r="A509" s="19"/>
    </row>
    <row r="510" customFormat="false" ht="13.5" hidden="false" customHeight="true" outlineLevel="0" collapsed="false">
      <c r="A510" s="19"/>
    </row>
    <row r="511" customFormat="false" ht="13.5" hidden="false" customHeight="true" outlineLevel="0" collapsed="false">
      <c r="A511" s="19"/>
    </row>
    <row r="512" customFormat="false" ht="13.5" hidden="false" customHeight="true" outlineLevel="0" collapsed="false">
      <c r="A512" s="19"/>
    </row>
    <row r="513" customFormat="false" ht="13.5" hidden="false" customHeight="true" outlineLevel="0" collapsed="false">
      <c r="A513" s="19"/>
    </row>
    <row r="514" customFormat="false" ht="13.5" hidden="false" customHeight="true" outlineLevel="0" collapsed="false">
      <c r="A514" s="19"/>
    </row>
    <row r="515" customFormat="false" ht="13.5" hidden="false" customHeight="true" outlineLevel="0" collapsed="false">
      <c r="A515" s="19"/>
    </row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J2"/>
    <mergeCell ref="A3:J3"/>
  </mergeCells>
  <dataValidations count="1">
    <dataValidation allowBlank="true" errorStyle="stop" operator="between" showDropDown="false" showErrorMessage="false" showInputMessage="false" sqref="A16:A515" type="list">
      <formula1>"1,5,10,25,50,75,100"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66"/>
    <col collapsed="false" customWidth="true" hidden="false" outlineLevel="0" max="4" min="4" style="0" width="48"/>
    <col collapsed="false" customWidth="true" hidden="false" outlineLevel="0" max="5" min="5" style="0" width="62"/>
    <col collapsed="false" customWidth="true" hidden="false" outlineLevel="0" max="26" min="6" style="0" width="8.63"/>
  </cols>
  <sheetData>
    <row r="1" customFormat="false" ht="18.75" hidden="false" customHeight="true" outlineLevel="0" collapsed="false">
      <c r="A1" s="9" t="s">
        <v>534</v>
      </c>
      <c r="B1" s="9"/>
      <c r="C1" s="9"/>
      <c r="D1" s="9"/>
      <c r="E1" s="9"/>
      <c r="F1" s="9"/>
      <c r="G1" s="9"/>
      <c r="H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</row>
    <row r="3" customFormat="false" ht="21.75" hidden="false" customHeight="true" outlineLevel="0" collapsed="false">
      <c r="A3" s="10" t="s">
        <v>535</v>
      </c>
      <c r="B3" s="10"/>
      <c r="C3" s="10"/>
      <c r="D3" s="10"/>
      <c r="E3" s="10"/>
      <c r="F3" s="10"/>
      <c r="G3" s="10"/>
      <c r="H3" s="10"/>
    </row>
    <row r="4" customFormat="false" ht="13.5" hidden="false" customHeight="true" outlineLevel="0" collapsed="false"/>
    <row r="5" customFormat="false" ht="13.5" hidden="false" customHeight="true" outlineLevel="0" collapsed="false">
      <c r="A5" s="11" t="s">
        <v>536</v>
      </c>
      <c r="B5" s="11" t="s">
        <v>537</v>
      </c>
      <c r="C5" s="11" t="s">
        <v>538</v>
      </c>
      <c r="D5" s="11" t="s">
        <v>539</v>
      </c>
      <c r="E5" s="11" t="s">
        <v>540</v>
      </c>
    </row>
    <row r="6" customFormat="false" ht="13.5" hidden="false" customHeight="true" outlineLevel="0" collapsed="false">
      <c r="A6" s="12" t="s">
        <v>541</v>
      </c>
      <c r="B6" s="12" t="s">
        <v>542</v>
      </c>
      <c r="C6" s="12" t="s">
        <v>543</v>
      </c>
      <c r="D6" s="12" t="s">
        <v>544</v>
      </c>
      <c r="E6" s="12" t="s">
        <v>545</v>
      </c>
    </row>
    <row r="7" customFormat="false" ht="13.5" hidden="false" customHeight="true" outlineLevel="0" collapsed="false">
      <c r="A7" s="12" t="s">
        <v>546</v>
      </c>
      <c r="B7" s="12" t="s">
        <v>542</v>
      </c>
      <c r="C7" s="12" t="s">
        <v>547</v>
      </c>
      <c r="D7" s="12" t="s">
        <v>548</v>
      </c>
      <c r="E7" s="12" t="s">
        <v>549</v>
      </c>
    </row>
    <row r="8" customFormat="false" ht="13.5" hidden="false" customHeight="true" outlineLevel="0" collapsed="false">
      <c r="A8" s="12" t="s">
        <v>546</v>
      </c>
      <c r="B8" s="12" t="s">
        <v>542</v>
      </c>
      <c r="C8" s="12" t="s">
        <v>550</v>
      </c>
      <c r="D8" s="12" t="s">
        <v>551</v>
      </c>
      <c r="E8" s="12" t="s">
        <v>552</v>
      </c>
    </row>
    <row r="9" customFormat="false" ht="13.5" hidden="false" customHeight="true" outlineLevel="0" collapsed="false">
      <c r="A9" s="12" t="s">
        <v>541</v>
      </c>
      <c r="B9" s="12" t="s">
        <v>553</v>
      </c>
      <c r="C9" s="12" t="s">
        <v>554</v>
      </c>
      <c r="D9" s="12" t="s">
        <v>555</v>
      </c>
      <c r="E9" s="12" t="s">
        <v>556</v>
      </c>
    </row>
    <row r="10" customFormat="false" ht="13.5" hidden="false" customHeight="true" outlineLevel="0" collapsed="false">
      <c r="A10" s="12" t="s">
        <v>541</v>
      </c>
      <c r="B10" s="12" t="s">
        <v>553</v>
      </c>
      <c r="C10" s="12" t="s">
        <v>557</v>
      </c>
      <c r="D10" s="12" t="s">
        <v>558</v>
      </c>
      <c r="E10" s="12" t="s">
        <v>559</v>
      </c>
    </row>
    <row r="11" customFormat="false" ht="13.5" hidden="false" customHeight="true" outlineLevel="0" collapsed="false">
      <c r="A11" s="12" t="s">
        <v>546</v>
      </c>
      <c r="B11" s="12" t="s">
        <v>553</v>
      </c>
      <c r="C11" s="12" t="s">
        <v>560</v>
      </c>
      <c r="D11" s="12" t="s">
        <v>561</v>
      </c>
      <c r="E11" s="12" t="s">
        <v>562</v>
      </c>
    </row>
    <row r="12" customFormat="false" ht="13.5" hidden="false" customHeight="true" outlineLevel="0" collapsed="false">
      <c r="A12" s="12" t="s">
        <v>541</v>
      </c>
      <c r="B12" s="12" t="s">
        <v>563</v>
      </c>
      <c r="C12" s="12" t="s">
        <v>564</v>
      </c>
      <c r="D12" s="12" t="s">
        <v>565</v>
      </c>
      <c r="E12" s="12" t="s">
        <v>566</v>
      </c>
    </row>
    <row r="13" customFormat="false" ht="13.5" hidden="false" customHeight="true" outlineLevel="0" collapsed="false">
      <c r="A13" s="12" t="s">
        <v>546</v>
      </c>
      <c r="B13" s="12" t="s">
        <v>563</v>
      </c>
      <c r="C13" s="12" t="s">
        <v>567</v>
      </c>
      <c r="D13" s="12" t="s">
        <v>568</v>
      </c>
      <c r="E13" s="12" t="s">
        <v>569</v>
      </c>
    </row>
    <row r="14" customFormat="false" ht="13.5" hidden="false" customHeight="true" outlineLevel="0" collapsed="false">
      <c r="A14" s="12" t="s">
        <v>541</v>
      </c>
      <c r="B14" s="12" t="s">
        <v>214</v>
      </c>
      <c r="C14" s="12" t="s">
        <v>570</v>
      </c>
      <c r="D14" s="12" t="s">
        <v>571</v>
      </c>
      <c r="E14" s="12" t="s">
        <v>572</v>
      </c>
    </row>
    <row r="15" customFormat="false" ht="13.5" hidden="false" customHeight="true" outlineLevel="0" collapsed="false">
      <c r="A15" s="12" t="s">
        <v>546</v>
      </c>
      <c r="B15" s="12" t="s">
        <v>214</v>
      </c>
      <c r="C15" s="12" t="s">
        <v>573</v>
      </c>
      <c r="D15" s="12" t="s">
        <v>574</v>
      </c>
      <c r="E15" s="12" t="s">
        <v>575</v>
      </c>
    </row>
    <row r="16" customFormat="false" ht="13.5" hidden="false" customHeight="true" outlineLevel="0" collapsed="false">
      <c r="A16" s="12" t="s">
        <v>541</v>
      </c>
      <c r="B16" s="12" t="s">
        <v>214</v>
      </c>
      <c r="C16" s="12" t="s">
        <v>576</v>
      </c>
      <c r="D16" s="12" t="s">
        <v>577</v>
      </c>
      <c r="E16" s="12" t="s">
        <v>578</v>
      </c>
    </row>
    <row r="17" customFormat="false" ht="13.5" hidden="false" customHeight="true" outlineLevel="0" collapsed="false">
      <c r="A17" s="12" t="s">
        <v>579</v>
      </c>
      <c r="B17" s="12" t="s">
        <v>580</v>
      </c>
      <c r="C17" s="12" t="s">
        <v>581</v>
      </c>
      <c r="D17" s="12" t="s">
        <v>582</v>
      </c>
      <c r="E17" s="12" t="s">
        <v>583</v>
      </c>
    </row>
    <row r="18" customFormat="false" ht="13.5" hidden="false" customHeight="true" outlineLevel="0" collapsed="false">
      <c r="A18" s="12" t="s">
        <v>546</v>
      </c>
      <c r="B18" s="12" t="s">
        <v>580</v>
      </c>
      <c r="C18" s="12" t="s">
        <v>584</v>
      </c>
      <c r="D18" s="12" t="s">
        <v>585</v>
      </c>
      <c r="E18" s="12" t="s">
        <v>586</v>
      </c>
    </row>
    <row r="19" customFormat="false" ht="13.5" hidden="false" customHeight="true" outlineLevel="0" collapsed="false">
      <c r="A19" s="12" t="s">
        <v>546</v>
      </c>
      <c r="B19" s="12" t="s">
        <v>587</v>
      </c>
      <c r="C19" s="12" t="s">
        <v>588</v>
      </c>
      <c r="D19" s="12" t="s">
        <v>589</v>
      </c>
      <c r="E19" s="12" t="s">
        <v>590</v>
      </c>
    </row>
    <row r="20" customFormat="false" ht="13.5" hidden="false" customHeight="true" outlineLevel="0" collapsed="false">
      <c r="A20" s="12" t="s">
        <v>591</v>
      </c>
      <c r="B20" s="12" t="s">
        <v>587</v>
      </c>
      <c r="C20" s="12" t="s">
        <v>592</v>
      </c>
      <c r="D20" s="12" t="s">
        <v>593</v>
      </c>
      <c r="E20" s="12" t="s">
        <v>594</v>
      </c>
    </row>
    <row r="21" customFormat="false" ht="13.5" hidden="false" customHeight="true" outlineLevel="0" collapsed="false">
      <c r="A21" s="12" t="s">
        <v>591</v>
      </c>
      <c r="B21" s="12" t="s">
        <v>595</v>
      </c>
      <c r="C21" s="12" t="s">
        <v>596</v>
      </c>
      <c r="D21" s="12" t="s">
        <v>597</v>
      </c>
      <c r="E21" s="12" t="s">
        <v>598</v>
      </c>
    </row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">
    <mergeCell ref="A1:H2"/>
    <mergeCell ref="A3:H3"/>
  </mergeCells>
  <conditionalFormatting sqref="A6:A21">
    <cfRule type="expression" priority="2" aboveAverage="0" equalAverage="0" bottom="0" percent="0" rank="0" text="" dxfId="28">
      <formula>A6="Alta"</formula>
    </cfRule>
  </conditionalFormatting>
  <conditionalFormatting sqref="A6:A21">
    <cfRule type="expression" priority="3" aboveAverage="0" equalAverage="0" bottom="0" percent="0" rank="0" text="" dxfId="29">
      <formula>A6="Média"</formula>
    </cfRule>
  </conditionalFormatting>
  <conditionalFormatting sqref="A6:A21">
    <cfRule type="expression" priority="4" aboveAverage="0" equalAverage="0" bottom="0" percent="0" rank="0" text="" dxfId="30">
      <formula>A6="Positiva"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6" min="1" style="0" width="12"/>
    <col collapsed="false" customWidth="true" hidden="false" outlineLevel="0" max="26" min="17" style="0" width="8.63"/>
  </cols>
  <sheetData>
    <row r="1" customFormat="false" ht="18.75" hidden="false" customHeight="true" outlineLevel="0" collapsed="false">
      <c r="A1" s="9" t="s">
        <v>599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customFormat="false" ht="18.7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customFormat="false" ht="21.75" hidden="false" customHeight="true" outlineLevel="0" collapsed="false">
      <c r="A3" s="10" t="s">
        <v>600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13.5" hidden="false" customHeight="true" outlineLevel="0" collapsed="false"/>
    <row r="5" customFormat="false" ht="18.75" hidden="false" customHeight="true" outlineLevel="0" collapsed="false">
      <c r="A5" s="20" t="s">
        <v>601</v>
      </c>
      <c r="B5" s="20"/>
      <c r="C5" s="20"/>
      <c r="D5" s="20"/>
      <c r="E5" s="20" t="s">
        <v>602</v>
      </c>
      <c r="F5" s="20"/>
      <c r="G5" s="20"/>
      <c r="H5" s="20"/>
      <c r="I5" s="20" t="s">
        <v>603</v>
      </c>
      <c r="J5" s="20"/>
      <c r="K5" s="20"/>
      <c r="L5" s="20"/>
      <c r="M5" s="20" t="s">
        <v>604</v>
      </c>
      <c r="N5" s="20"/>
      <c r="O5" s="20"/>
      <c r="P5" s="20"/>
    </row>
    <row r="6" customFormat="false" ht="19.5" hidden="false" customHeight="true" outlineLevel="0" collapsed="false">
      <c r="A6" s="21" t="n">
        <f aca="false">'02_Benchmark_SAW'!L26</f>
        <v>87.5</v>
      </c>
      <c r="B6" s="21"/>
      <c r="C6" s="21"/>
      <c r="D6" s="21"/>
      <c r="E6" s="21" t="n">
        <f aca="false">'02_Benchmark_SAW'!M26</f>
        <v>73.5</v>
      </c>
      <c r="F6" s="21"/>
      <c r="G6" s="21"/>
      <c r="H6" s="21"/>
      <c r="I6" s="21" t="n">
        <f aca="false">'02_Benchmark_SAW'!N26</f>
        <v>91</v>
      </c>
      <c r="J6" s="21"/>
      <c r="K6" s="21"/>
      <c r="L6" s="21"/>
      <c r="M6" s="22" t="n">
        <f aca="false">'05_Heuristica_Resumo'!C11</f>
        <v>0.3636363636</v>
      </c>
      <c r="N6" s="22"/>
      <c r="O6" s="22"/>
      <c r="P6" s="22"/>
    </row>
    <row r="7" customFormat="false" ht="19.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2"/>
      <c r="O7" s="22"/>
      <c r="P7" s="22"/>
    </row>
    <row r="8" customFormat="false" ht="13.5" hidden="false" customHeight="true" outlineLevel="0" collapsed="false"/>
    <row r="9" customFormat="false" ht="18.75" hidden="false" customHeight="true" outlineLevel="0" collapsed="false">
      <c r="A9" s="20" t="s">
        <v>605</v>
      </c>
      <c r="B9" s="20"/>
      <c r="C9" s="20"/>
      <c r="D9" s="20"/>
      <c r="E9" s="20" t="s">
        <v>606</v>
      </c>
      <c r="F9" s="20"/>
      <c r="G9" s="20"/>
      <c r="H9" s="20"/>
      <c r="I9" s="20" t="s">
        <v>607</v>
      </c>
      <c r="J9" s="20"/>
      <c r="K9" s="20"/>
      <c r="L9" s="20"/>
      <c r="M9" s="20" t="s">
        <v>608</v>
      </c>
      <c r="N9" s="20"/>
      <c r="O9" s="20"/>
      <c r="P9" s="20"/>
    </row>
    <row r="10" customFormat="false" ht="19.5" hidden="false" customHeight="true" outlineLevel="0" collapsed="false">
      <c r="A10" s="21" t="n">
        <f aca="false">'05_Heuristica_Resumo'!C10</f>
        <v>36.36363636</v>
      </c>
      <c r="B10" s="21"/>
      <c r="C10" s="21"/>
      <c r="D10" s="21"/>
      <c r="E10" s="22" t="n">
        <f aca="false">'06_Desempenho_Carga'!B12</f>
        <v>3.15</v>
      </c>
      <c r="F10" s="22"/>
      <c r="G10" s="22"/>
      <c r="H10" s="22"/>
      <c r="I10" s="21" t="n">
        <f aca="false">'06_Desempenho_Carga'!C12</f>
        <v>4.7</v>
      </c>
      <c r="J10" s="21"/>
      <c r="K10" s="21"/>
      <c r="L10" s="21"/>
      <c r="M10" s="21" t="n">
        <f aca="false">'10_Requisitos_Resumo'!C9</f>
        <v>85.18518519</v>
      </c>
      <c r="N10" s="21"/>
      <c r="O10" s="21"/>
      <c r="P10" s="21"/>
    </row>
    <row r="11" customFormat="false" ht="19.5" hidden="false" customHeight="true" outlineLevel="0" collapsed="false">
      <c r="A11" s="21"/>
      <c r="B11" s="21"/>
      <c r="C11" s="21"/>
      <c r="D11" s="21"/>
      <c r="E11" s="22"/>
      <c r="F11" s="22"/>
      <c r="G11" s="22"/>
      <c r="H11" s="22"/>
      <c r="I11" s="21"/>
      <c r="J11" s="21"/>
      <c r="K11" s="21"/>
      <c r="L11" s="21"/>
      <c r="M11" s="21"/>
      <c r="N11" s="21"/>
      <c r="O11" s="21"/>
      <c r="P11" s="2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17" t="s">
        <v>609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customFormat="false" ht="13.5" hidden="false" customHeight="true" outlineLevel="0" collapsed="false">
      <c r="A15" s="23" t="s">
        <v>610</v>
      </c>
      <c r="B15" s="23"/>
      <c r="C15" s="23"/>
      <c r="D15" s="23"/>
      <c r="E15" s="23"/>
      <c r="F15" s="23"/>
      <c r="G15" s="23"/>
      <c r="H15" s="23"/>
      <c r="I15" s="23" t="s">
        <v>611</v>
      </c>
      <c r="J15" s="23"/>
      <c r="K15" s="23"/>
      <c r="L15" s="23"/>
      <c r="M15" s="23"/>
      <c r="N15" s="23"/>
      <c r="O15" s="23"/>
      <c r="P15" s="23"/>
    </row>
    <row r="16" customFormat="false" ht="13.5" hidden="false" customHeight="true" outlineLevel="0" collapsed="false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customFormat="false" ht="13.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customFormat="false" ht="13.5" hidden="false" customHeight="true" outlineLevel="0" collapsed="false">
      <c r="A18" s="23" t="s">
        <v>612</v>
      </c>
      <c r="B18" s="23"/>
      <c r="C18" s="23"/>
      <c r="D18" s="23"/>
      <c r="E18" s="23"/>
      <c r="F18" s="23"/>
      <c r="G18" s="23"/>
      <c r="H18" s="23"/>
      <c r="I18" s="23" t="s">
        <v>613</v>
      </c>
      <c r="J18" s="23"/>
      <c r="K18" s="23"/>
      <c r="L18" s="23"/>
      <c r="M18" s="23"/>
      <c r="N18" s="23"/>
      <c r="O18" s="23"/>
      <c r="P18" s="23"/>
    </row>
    <row r="19" customFormat="false" ht="13.5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customFormat="false" ht="13.5" hidden="false" customHeight="tru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>
      <c r="A23" s="17" t="s">
        <v>614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customFormat="false" ht="13.5" hidden="false" customHeight="true" outlineLevel="0" collapsed="false">
      <c r="A24" s="16" t="s">
        <v>615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customFormat="false" ht="13.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customFormat="false" ht="13.5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customFormat="false" ht="13.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customFormat="false" ht="13.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>
      <c r="A31" s="11" t="s">
        <v>68</v>
      </c>
      <c r="B31" s="11" t="s">
        <v>38</v>
      </c>
      <c r="C31" s="11" t="s">
        <v>39</v>
      </c>
      <c r="D31" s="11" t="s">
        <v>40</v>
      </c>
      <c r="F31" s="11" t="s">
        <v>239</v>
      </c>
      <c r="G31" s="11" t="s">
        <v>616</v>
      </c>
      <c r="H31" s="11" t="s">
        <v>241</v>
      </c>
      <c r="I31" s="11" t="s">
        <v>264</v>
      </c>
      <c r="J31" s="11" t="s">
        <v>617</v>
      </c>
      <c r="K31" s="11" t="s">
        <v>618</v>
      </c>
    </row>
    <row r="32" customFormat="false" ht="13.5" hidden="false" customHeight="true" outlineLevel="0" collapsed="false">
      <c r="A32" s="12" t="s">
        <v>81</v>
      </c>
      <c r="B32" s="15" t="n">
        <f aca="false">'02_Benchmark_SAW'!L23</f>
        <v>42.5</v>
      </c>
      <c r="C32" s="15" t="n">
        <f aca="false">'02_Benchmark_SAW'!M23</f>
        <v>63</v>
      </c>
      <c r="D32" s="15" t="n">
        <f aca="false">'02_Benchmark_SAW'!N23</f>
        <v>37.5</v>
      </c>
      <c r="F32" s="12" t="n">
        <f aca="false">'06_Desempenho_Carga'!A6</f>
        <v>1</v>
      </c>
      <c r="G32" s="14" t="n">
        <f aca="false">'06_Desempenho_Carga'!B6</f>
        <v>0.42</v>
      </c>
      <c r="H32" s="14" t="n">
        <f aca="false">'06_Desempenho_Carga'!C6</f>
        <v>0</v>
      </c>
      <c r="I32" s="14" t="n">
        <f aca="false">'06_Desempenho_Carga'!D6</f>
        <v>2.1</v>
      </c>
      <c r="J32" s="15" t="n">
        <f aca="false">'06_Desempenho_Carga'!E6</f>
        <v>12</v>
      </c>
      <c r="K32" s="12" t="n">
        <f aca="false">'06_Desempenho_Carga'!F6/15</f>
        <v>22.66666667</v>
      </c>
    </row>
    <row r="33" customFormat="false" ht="13.5" hidden="false" customHeight="true" outlineLevel="0" collapsed="false">
      <c r="A33" s="12" t="s">
        <v>82</v>
      </c>
      <c r="B33" s="15" t="n">
        <f aca="false">'02_Benchmark_SAW'!L24</f>
        <v>55</v>
      </c>
      <c r="C33" s="15" t="n">
        <f aca="false">'02_Benchmark_SAW'!M24</f>
        <v>77</v>
      </c>
      <c r="D33" s="15" t="n">
        <f aca="false">'02_Benchmark_SAW'!N24</f>
        <v>48.5</v>
      </c>
      <c r="F33" s="12" t="n">
        <f aca="false">'06_Desempenho_Carga'!A7</f>
        <v>5</v>
      </c>
      <c r="G33" s="14" t="n">
        <f aca="false">'06_Desempenho_Carga'!B7</f>
        <v>0.51</v>
      </c>
      <c r="H33" s="14" t="n">
        <f aca="false">'06_Desempenho_Carga'!C7</f>
        <v>0</v>
      </c>
      <c r="I33" s="14" t="n">
        <f aca="false">'06_Desempenho_Carga'!D7</f>
        <v>9.4</v>
      </c>
      <c r="J33" s="15" t="n">
        <f aca="false">'06_Desempenho_Carga'!E7</f>
        <v>18</v>
      </c>
      <c r="K33" s="12" t="n">
        <f aca="false">'06_Desempenho_Carga'!F7/15</f>
        <v>27.33333333</v>
      </c>
    </row>
    <row r="34" customFormat="false" ht="13.5" hidden="false" customHeight="true" outlineLevel="0" collapsed="false">
      <c r="A34" s="12" t="s">
        <v>83</v>
      </c>
      <c r="B34" s="15" t="n">
        <f aca="false">'02_Benchmark_SAW'!L25</f>
        <v>42.5</v>
      </c>
      <c r="C34" s="15" t="n">
        <f aca="false">'02_Benchmark_SAW'!M25</f>
        <v>71</v>
      </c>
      <c r="D34" s="15" t="n">
        <f aca="false">'02_Benchmark_SAW'!N25</f>
        <v>33.5</v>
      </c>
      <c r="F34" s="12" t="n">
        <f aca="false">'06_Desempenho_Carga'!A8</f>
        <v>10</v>
      </c>
      <c r="G34" s="14" t="n">
        <f aca="false">'06_Desempenho_Carga'!B8</f>
        <v>0.68</v>
      </c>
      <c r="H34" s="14" t="n">
        <f aca="false">'06_Desempenho_Carga'!C8</f>
        <v>0.2</v>
      </c>
      <c r="I34" s="14" t="n">
        <f aca="false">'06_Desempenho_Carga'!D8</f>
        <v>17.8</v>
      </c>
      <c r="J34" s="15" t="n">
        <f aca="false">'06_Desempenho_Carga'!E8</f>
        <v>27</v>
      </c>
      <c r="K34" s="12" t="n">
        <f aca="false">'06_Desempenho_Carga'!F8/15</f>
        <v>34.66666667</v>
      </c>
    </row>
    <row r="35" customFormat="false" ht="13.5" hidden="false" customHeight="true" outlineLevel="0" collapsed="false">
      <c r="A35" s="12" t="s">
        <v>84</v>
      </c>
      <c r="B35" s="15" t="n">
        <f aca="false">'02_Benchmark_SAW'!L26</f>
        <v>87.5</v>
      </c>
      <c r="C35" s="15" t="n">
        <f aca="false">'02_Benchmark_SAW'!M26</f>
        <v>73.5</v>
      </c>
      <c r="D35" s="15" t="n">
        <f aca="false">'02_Benchmark_SAW'!N26</f>
        <v>91</v>
      </c>
      <c r="F35" s="12" t="n">
        <f aca="false">'06_Desempenho_Carga'!A9</f>
        <v>25</v>
      </c>
      <c r="G35" s="14" t="n">
        <f aca="false">'06_Desempenho_Carga'!B9</f>
        <v>0.95</v>
      </c>
      <c r="H35" s="14" t="n">
        <f aca="false">'06_Desempenho_Carga'!C9</f>
        <v>0.6</v>
      </c>
      <c r="I35" s="14" t="n">
        <f aca="false">'06_Desempenho_Carga'!D9</f>
        <v>37.5</v>
      </c>
      <c r="J35" s="15" t="n">
        <f aca="false">'06_Desempenho_Carga'!E9</f>
        <v>43</v>
      </c>
      <c r="K35" s="12" t="n">
        <f aca="false">'06_Desempenho_Carga'!F9/15</f>
        <v>46</v>
      </c>
    </row>
    <row r="36" customFormat="false" ht="13.5" hidden="false" customHeight="true" outlineLevel="0" collapsed="false">
      <c r="F36" s="12" t="n">
        <f aca="false">'06_Desempenho_Carga'!A10</f>
        <v>50</v>
      </c>
      <c r="G36" s="14" t="n">
        <f aca="false">'06_Desempenho_Carga'!B10</f>
        <v>1.48</v>
      </c>
      <c r="H36" s="14" t="n">
        <f aca="false">'06_Desempenho_Carga'!C10</f>
        <v>1.4</v>
      </c>
      <c r="I36" s="14" t="n">
        <f aca="false">'06_Desempenho_Carga'!D10</f>
        <v>54.2</v>
      </c>
      <c r="J36" s="15" t="n">
        <f aca="false">'06_Desempenho_Carga'!E10</f>
        <v>61</v>
      </c>
      <c r="K36" s="12" t="n">
        <f aca="false">'06_Desempenho_Carga'!F10/15</f>
        <v>58</v>
      </c>
    </row>
    <row r="37" customFormat="false" ht="13.5" hidden="false" customHeight="true" outlineLevel="0" collapsed="false">
      <c r="F37" s="12" t="n">
        <f aca="false">'06_Desempenho_Carga'!A11</f>
        <v>75</v>
      </c>
      <c r="G37" s="14" t="n">
        <f aca="false">'06_Desempenho_Carga'!B11</f>
        <v>2.21</v>
      </c>
      <c r="H37" s="14" t="n">
        <f aca="false">'06_Desempenho_Carga'!C11</f>
        <v>2.9</v>
      </c>
      <c r="I37" s="14" t="n">
        <f aca="false">'06_Desempenho_Carga'!D11</f>
        <v>61.8</v>
      </c>
      <c r="J37" s="15" t="n">
        <f aca="false">'06_Desempenho_Carga'!E11</f>
        <v>78</v>
      </c>
      <c r="K37" s="12" t="n">
        <f aca="false">'06_Desempenho_Carga'!F11/15</f>
        <v>69.33333333</v>
      </c>
    </row>
    <row r="38" customFormat="false" ht="13.5" hidden="false" customHeight="true" outlineLevel="0" collapsed="false">
      <c r="F38" s="12" t="n">
        <f aca="false">'06_Desempenho_Carga'!A12</f>
        <v>100</v>
      </c>
      <c r="G38" s="14" t="n">
        <f aca="false">'06_Desempenho_Carga'!B12</f>
        <v>3.15</v>
      </c>
      <c r="H38" s="14" t="n">
        <f aca="false">'06_Desempenho_Carga'!C12</f>
        <v>4.7</v>
      </c>
      <c r="I38" s="14" t="n">
        <f aca="false">'06_Desempenho_Carga'!D12</f>
        <v>64.1</v>
      </c>
      <c r="J38" s="15" t="n">
        <f aca="false">'06_Desempenho_Carga'!E12</f>
        <v>88</v>
      </c>
      <c r="K38" s="12" t="n">
        <f aca="false">'06_Desempenho_Carga'!F12/15</f>
        <v>79.33333333</v>
      </c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25">
    <mergeCell ref="A1:P2"/>
    <mergeCell ref="A3:P3"/>
    <mergeCell ref="A5:D5"/>
    <mergeCell ref="E5:H5"/>
    <mergeCell ref="I5:L5"/>
    <mergeCell ref="M5:P5"/>
    <mergeCell ref="A6:D7"/>
    <mergeCell ref="E6:H7"/>
    <mergeCell ref="I6:L7"/>
    <mergeCell ref="M6:P7"/>
    <mergeCell ref="A9:D9"/>
    <mergeCell ref="E9:H9"/>
    <mergeCell ref="I9:L9"/>
    <mergeCell ref="M9:P9"/>
    <mergeCell ref="A10:D11"/>
    <mergeCell ref="E10:H11"/>
    <mergeCell ref="I10:L11"/>
    <mergeCell ref="M10:P11"/>
    <mergeCell ref="A14:P14"/>
    <mergeCell ref="A15:H17"/>
    <mergeCell ref="I15:P17"/>
    <mergeCell ref="A18:H20"/>
    <mergeCell ref="I18:P20"/>
    <mergeCell ref="A23:P23"/>
    <mergeCell ref="A24:P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2026-07-03T18:27:43Z</dcterms:modified>
  <cp:revision>1</cp:revision>
  <dc:subject/>
  <dc:title/>
</cp:coreProperties>
</file>